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2" showHorizontalScroll="1" showVerticalScroll="1"/>
  </bookViews>
  <sheets>
    <sheet name="Parametros" sheetId="1" state="visible" r:id="rId1"/>
    <sheet name="Cartas" sheetId="2" state="visible" r:id="rId2"/>
    <sheet name="Teste Vanilla" sheetId="3" state="visible" r:id="rId3"/>
    <sheet name="Curva de Mana" sheetId="4" state="visible" r:id="rId4"/>
    <sheet name="Ligas (Combos)" sheetId="5" state="visible" r:id="rId5"/>
    <sheet name="Regras (v0.2)" sheetId="6" state="visible" r:id="rId6"/>
    <sheet name="Pendencias" sheetId="7" state="visible" r:id="rId7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<sst xmlns="http://schemas.openxmlformats.org/spreadsheetml/2006/main" count="373" uniqueCount="373">
  <si>
    <t xml:space="preserve">Parametros de balanceamento - Jogo de Cartas Minerais v2</t>
  </si>
  <si>
    <t xml:space="preserve">Base: Resolucao CTAPME no 2, de 18/06/2021. Celulas AZUIS sao os botoes de ajuste.</t>
  </si>
  <si>
    <t>Parametro</t>
  </si>
  <si>
    <t>Valor</t>
  </si>
  <si>
    <t>Observacao</t>
  </si>
  <si>
    <t xml:space="preserve">Ataque - deslocamento (log10 do preco)</t>
  </si>
  <si>
    <t xml:space="preserve">Preco de referencia equivalente a ataque 1</t>
  </si>
  <si>
    <t xml:space="preserve">Ataque - fator de escala</t>
  </si>
  <si>
    <t xml:space="preserve">Ataque ganho por decada de preco</t>
  </si>
  <si>
    <t xml:space="preserve">Ataque - minimo</t>
  </si>
  <si>
    <t xml:space="preserve">Ataque - maximo</t>
  </si>
  <si>
    <t xml:space="preserve">Custo - multiplicador Bloco I</t>
  </si>
  <si>
    <t xml:space="preserve">Dependencia de importacao encarece</t>
  </si>
  <si>
    <t xml:space="preserve">Custo - multiplicador Bloco II</t>
  </si>
  <si>
    <t>Referencia</t>
  </si>
  <si>
    <t xml:space="preserve">Custo - multiplicador Bloco III</t>
  </si>
  <si>
    <t xml:space="preserve">Vantagem comparativa barateia</t>
  </si>
  <si>
    <t xml:space="preserve">Custo - minimo</t>
  </si>
  <si>
    <t xml:space="preserve">Custo - maximo</t>
  </si>
  <si>
    <t xml:space="preserve">Copias no pool - Bloco I</t>
  </si>
  <si>
    <t xml:space="preserve">Escassez real vira escassez no baralho</t>
  </si>
  <si>
    <t xml:space="preserve">Copias no pool - Bloco II</t>
  </si>
  <si>
    <t xml:space="preserve">Copias no pool - Bloco III</t>
  </si>
  <si>
    <t xml:space="preserve">Reserva (vida) inicial</t>
  </si>
  <si>
    <t xml:space="preserve">Vida do heroi. Sobe se a partida estiver curta demais.</t>
  </si>
  <si>
    <t xml:space="preserve">Tamanho do baralho por jogador</t>
  </si>
  <si>
    <t xml:space="preserve">Sorteado do pool. Tem que durar a partida, senao a exaustao decide.</t>
  </si>
  <si>
    <t xml:space="preserve">Mao inicial</t>
  </si>
  <si>
    <t xml:space="preserve">Quem joga em segundo compra mais (ver abaixo)</t>
  </si>
  <si>
    <t>Formulas</t>
  </si>
  <si>
    <t xml:space="preserve">Defesa = dureza Mohs do mineral de referencia, arredondada</t>
  </si>
  <si>
    <t xml:space="preserve">Ataque = ARRED((LOG10(preco) - deslocamento) * fator + 1) , limitado entre min e max</t>
  </si>
  <si>
    <t xml:space="preserve">Custo  = ARRED((Ataque + Defesa)/2 * multiplicador do bloco) , limitado entre min e max</t>
  </si>
  <si>
    <t xml:space="preserve">REGRA DA DUREZA</t>
  </si>
  <si>
    <t xml:space="preserve">A Resolucao lista SUBSTANCIAS (mistura elemento e minerio). A carta segue a substancia.</t>
  </si>
  <si>
    <t xml:space="preserve">A dureza vem do MINERAL DE REFERENCIA: o mineral-minerio predominantemente lavrado no Brasil.</t>
  </si>
  <si>
    <t xml:space="preserve">A coluna 'Mineral de referencia' declara essa escolha carta a carta - e o que torna o dado auditavel.</t>
  </si>
  <si>
    <t>FONTES</t>
  </si>
  <si>
    <t xml:space="preserve">Blocos: Resolucao CTAPME no 2/2021 (MME) - transcrita da lista oficial fornecida pelo usuario.</t>
  </si>
  <si>
    <t xml:space="preserve">Dureza Mohs: tabela mineralogica padrao; onde ha intervalo, ponto medio.</t>
  </si>
  <si>
    <t xml:space="preserve">Precos: ordens de grandeza ILUSTRATIVAS em US$/t, para calibrar o jogo - NAO sao cotacao.</t>
  </si>
  <si>
    <t xml:space="preserve">Substituir pelo Anuario Mineral Brasileiro (ANM) e USGS Mineral Commodity Summaries antes de publicar.</t>
  </si>
  <si>
    <t xml:space="preserve">A Resolucao pode ser alterada a qualquer momento pelo CTAPME (art. 2o) - reconferir a lista na publicacao.</t>
  </si>
  <si>
    <t xml:space="preserve">PARAMETROS DO MOTOR — lidos por exportar.py para dentro de dados.js</t>
  </si>
  <si>
    <t xml:space="preserve">Editar AQUI. O motor so usa o proprio padrao se a linha sumir daqui.</t>
  </si>
  <si>
    <t>chave</t>
  </si>
  <si>
    <t>valor</t>
  </si>
  <si>
    <t>observacao</t>
  </si>
  <si>
    <t>maoSegundo</t>
  </si>
  <si>
    <t xml:space="preserve">Mao inicial de quem joga em segundo</t>
  </si>
  <si>
    <t>baralhoSegundoExtra</t>
  </si>
  <si>
    <t xml:space="preserve">Cartas a mais no baralho dele: a mao maior sai de dentro do baralho</t>
  </si>
  <si>
    <t>fichaSegundo1</t>
  </si>
  <si>
    <t xml:space="preserve">Energia extra no 1o turno dele</t>
  </si>
  <si>
    <t>fichaSegundo2</t>
  </si>
  <si>
    <t xml:space="preserve">Energia extra no 2o turno dele (meia ficha: 2 sozinho da 57%, 3 da 37%)</t>
  </si>
  <si>
    <t>energiaInicial</t>
  </si>
  <si>
    <t>energiaMax</t>
  </si>
  <si>
    <t>campoMax</t>
  </si>
  <si>
    <t xml:space="preserve">Vagas no campo</t>
  </si>
  <si>
    <t>maoMax</t>
  </si>
  <si>
    <t xml:space="preserve">Acima disso nao compra</t>
  </si>
  <si>
    <t>custoEspeculacao</t>
  </si>
  <si>
    <t xml:space="preserve">Escudo perdido quando a mao esta cheia</t>
  </si>
  <si>
    <t>garantiaCusto</t>
  </si>
  <si>
    <t xml:space="preserve">A mao de abertura garante ao menos uma carta ate este custo</t>
  </si>
  <si>
    <t>bonusLiga</t>
  </si>
  <si>
    <t xml:space="preserve">+X/+X na carta forjada</t>
  </si>
  <si>
    <t>refinoDivisor</t>
  </si>
  <si>
    <t xml:space="preserve">Custo de refino = teto(custo da carta / isto)</t>
  </si>
  <si>
    <t>refinoMin</t>
  </si>
  <si>
    <t xml:space="preserve">Piso do custo de refino</t>
  </si>
  <si>
    <t>refinoValor</t>
  </si>
  <si>
    <t xml:space="preserve">+valor ao refinar (fixo: favorece a commodity barata, e o argumento do jogo)</t>
  </si>
  <si>
    <t>refinoDureza</t>
  </si>
  <si>
    <t xml:space="preserve">+dureza ao refinar</t>
  </si>
  <si>
    <t>barreiraDureza</t>
  </si>
  <si>
    <t xml:space="preserve">Criterio ANTIGO (v6): segura quem tem defesa &gt;= N. Vazio = desligado.</t>
  </si>
  <si>
    <t>barreiraPorRefino</t>
  </si>
  <si>
    <t xml:space="preserve">1 = toda carta REFINADA (e toda liga) faz barreira. E o criterio da v7.</t>
  </si>
  <si>
    <t>refinoGastaAcao</t>
  </si>
  <si>
    <t xml:space="preserve">0 = da para atacar e refinar no mesmo turno. So nao refina no turno em que a carta entrou.</t>
  </si>
  <si>
    <t xml:space="preserve">Cartas - 23 substancias oficiais + 2 complementares</t>
  </si>
  <si>
    <t xml:space="preserve">Azul = voce edita. Preto = calculado, nao digite por cima.</t>
  </si>
  <si>
    <t xml:space="preserve">Ajuste manual por carta (eixo de liga). Soma ao valor do bloco.</t>
  </si>
  <si>
    <t>#</t>
  </si>
  <si>
    <t xml:space="preserve">Carta (substancia)</t>
  </si>
  <si>
    <t>Bloco</t>
  </si>
  <si>
    <t xml:space="preserve">Tambem no bloco</t>
  </si>
  <si>
    <t>Oficial?</t>
  </si>
  <si>
    <t xml:space="preserve">Classe (cor)</t>
  </si>
  <si>
    <t xml:space="preserve">Mineral de referencia (BR)</t>
  </si>
  <si>
    <t>Formula</t>
  </si>
  <si>
    <t>Elemento</t>
  </si>
  <si>
    <t>Mohs</t>
  </si>
  <si>
    <t xml:space="preserve">Preco ref. (US$/t)</t>
  </si>
  <si>
    <t xml:space="preserve">Base do preco</t>
  </si>
  <si>
    <t>ATAQUE</t>
  </si>
  <si>
    <t>DEFESA</t>
  </si>
  <si>
    <t>CUSTO</t>
  </si>
  <si>
    <t>Copias</t>
  </si>
  <si>
    <t>Nota</t>
  </si>
  <si>
    <t xml:space="preserve">Copias extra</t>
  </si>
  <si>
    <t>Enxofre</t>
  </si>
  <si>
    <t>I</t>
  </si>
  <si>
    <t>Sim</t>
  </si>
  <si>
    <t xml:space="preserve">Vermelho - Dependencia</t>
  </si>
  <si>
    <t xml:space="preserve">Enxofre nativo</t>
  </si>
  <si>
    <t>S</t>
  </si>
  <si>
    <t xml:space="preserve">Enxofre bruto</t>
  </si>
  <si>
    <t xml:space="preserve">Minerio de Fosfato</t>
  </si>
  <si>
    <t>Apatita</t>
  </si>
  <si>
    <t>Ca5(PO4)3(F,OH)</t>
  </si>
  <si>
    <t>P</t>
  </si>
  <si>
    <t xml:space="preserve">Concentrado fosfatico</t>
  </si>
  <si>
    <t xml:space="preserve">Minerio de Potassio</t>
  </si>
  <si>
    <t>Silvita</t>
  </si>
  <si>
    <t>KCl</t>
  </si>
  <si>
    <t>K</t>
  </si>
  <si>
    <t xml:space="preserve">Cloreto de potassio (KCl)</t>
  </si>
  <si>
    <t xml:space="preserve">Minerio de Molibdenio</t>
  </si>
  <si>
    <t>Molibdenita</t>
  </si>
  <si>
    <t>MoS2</t>
  </si>
  <si>
    <t>Mo</t>
  </si>
  <si>
    <t xml:space="preserve">Molibdenio metalico</t>
  </si>
  <si>
    <t xml:space="preserve">Mohs 1-1,5: risca com a unha. Canhao de vidro.</t>
  </si>
  <si>
    <t xml:space="preserve">Minerio de Cobalto</t>
  </si>
  <si>
    <t>II</t>
  </si>
  <si>
    <t xml:space="preserve">Roxo - Tecnologia</t>
  </si>
  <si>
    <t xml:space="preserve">Asbolana (laterita niquelifera)</t>
  </si>
  <si>
    <t>(Mn,Co)O(OH)2.nH2O</t>
  </si>
  <si>
    <t>Co</t>
  </si>
  <si>
    <t xml:space="preserve">Cobalto refinado</t>
  </si>
  <si>
    <t xml:space="preserve">So existe como SUBPRODUTO de niquel no Brasil - nao ha mina propria. Fase portadora na zona limonitica.</t>
  </si>
  <si>
    <t xml:space="preserve">Minerio de Cobre</t>
  </si>
  <si>
    <t>III</t>
  </si>
  <si>
    <t>Calcopirita</t>
  </si>
  <si>
    <t>CuFeS2</t>
  </si>
  <si>
    <t>Cu</t>
  </si>
  <si>
    <t xml:space="preserve">Cobre refinado</t>
  </si>
  <si>
    <t xml:space="preserve">Bloco duplo.</t>
  </si>
  <si>
    <t xml:space="preserve">Minerio de Estanho</t>
  </si>
  <si>
    <t>Cassiterita</t>
  </si>
  <si>
    <t>SnO2</t>
  </si>
  <si>
    <t>Sn</t>
  </si>
  <si>
    <t xml:space="preserve">Estanho refinado</t>
  </si>
  <si>
    <t xml:space="preserve">Pitinga (AM) e Bom Futuro (RO).</t>
  </si>
  <si>
    <t xml:space="preserve">Minerio de Grafita</t>
  </si>
  <si>
    <t>Grafita</t>
  </si>
  <si>
    <t>C</t>
  </si>
  <si>
    <t xml:space="preserve">Grafita natural em flocos</t>
  </si>
  <si>
    <t xml:space="preserve">Minerios do grupo da platina</t>
  </si>
  <si>
    <t>Esperrilita</t>
  </si>
  <si>
    <t>PtAs2</t>
  </si>
  <si>
    <t xml:space="preserve">Pt, Pd</t>
  </si>
  <si>
    <t>Platina</t>
  </si>
  <si>
    <t xml:space="preserve">Minerio de Litio</t>
  </si>
  <si>
    <t>Espodumenio</t>
  </si>
  <si>
    <t>LiAlSi2O6</t>
  </si>
  <si>
    <t>Li</t>
  </si>
  <si>
    <t xml:space="preserve">Carbonato de litio equiv.</t>
  </si>
  <si>
    <t xml:space="preserve">Vale do Jequitinhonha (MG).</t>
  </si>
  <si>
    <t xml:space="preserve">Minerio de Niobio</t>
  </si>
  <si>
    <t>Pirocloro</t>
  </si>
  <si>
    <t>(Na,Ca)2Nb2O6(OH,F)</t>
  </si>
  <si>
    <t>Nb</t>
  </si>
  <si>
    <t>Ferronióbio</t>
  </si>
  <si>
    <t xml:space="preserve">Bloco duplo. Brasil ~90% da oferta mundial.</t>
  </si>
  <si>
    <t xml:space="preserve">Minerio de Niquel</t>
  </si>
  <si>
    <t>Garnierita</t>
  </si>
  <si>
    <t>(Ni,Mg)3Si2O5(OH)4</t>
  </si>
  <si>
    <t>Ni</t>
  </si>
  <si>
    <t xml:space="preserve">Niquel refinado</t>
  </si>
  <si>
    <t xml:space="preserve">Laterita, que e o que o Brasil lavra.</t>
  </si>
  <si>
    <t xml:space="preserve">Minerio de Silicio</t>
  </si>
  <si>
    <t>Quartzo</t>
  </si>
  <si>
    <t>SiO2</t>
  </si>
  <si>
    <t>Si</t>
  </si>
  <si>
    <t xml:space="preserve">Silicio metalico</t>
  </si>
  <si>
    <t xml:space="preserve">Minerio de Tantalo</t>
  </si>
  <si>
    <t>Columbita-tantalita</t>
  </si>
  <si>
    <t>(Fe,Mn)(Nb,Ta)2O6</t>
  </si>
  <si>
    <t>Ta</t>
  </si>
  <si>
    <t xml:space="preserve">Tantalo metalico</t>
  </si>
  <si>
    <t xml:space="preserve">Minerio de Terras Raras</t>
  </si>
  <si>
    <t xml:space="preserve">Argila ionica</t>
  </si>
  <si>
    <t xml:space="preserve">(adsorcao ionica em argilominerais)</t>
  </si>
  <si>
    <t>ETR</t>
  </si>
  <si>
    <t xml:space="preserve">Oxidos de terras raras</t>
  </si>
  <si>
    <t xml:space="preserve">Argila ionica, nao monazita: e a rota estrategica atual (Goias).</t>
  </si>
  <si>
    <t xml:space="preserve">Minerio de Titanio</t>
  </si>
  <si>
    <t>Ilmenita</t>
  </si>
  <si>
    <t>FeTiO3</t>
  </si>
  <si>
    <t>Ti</t>
  </si>
  <si>
    <t xml:space="preserve">Titanio esponja</t>
  </si>
  <si>
    <t xml:space="preserve">Minerio de Tungstenio</t>
  </si>
  <si>
    <t>Scheelita</t>
  </si>
  <si>
    <t>CaWO4</t>
  </si>
  <si>
    <t>W</t>
  </si>
  <si>
    <t xml:space="preserve">Tungstenio (APT)</t>
  </si>
  <si>
    <t xml:space="preserve">Currais Novos (RN).</t>
  </si>
  <si>
    <t xml:space="preserve">Minerio de Uranio</t>
  </si>
  <si>
    <t>Uraninita</t>
  </si>
  <si>
    <t>UO2</t>
  </si>
  <si>
    <t>U</t>
  </si>
  <si>
    <t>U3O8</t>
  </si>
  <si>
    <t xml:space="preserve">Bloco duplo. Caetite (BA).</t>
  </si>
  <si>
    <t xml:space="preserve">Minerio de Vanadio</t>
  </si>
  <si>
    <t xml:space="preserve">Magnetita vanadifera</t>
  </si>
  <si>
    <t>(Fe,V)3O4</t>
  </si>
  <si>
    <t>V</t>
  </si>
  <si>
    <t xml:space="preserve">Pentoxido de vanadio</t>
  </si>
  <si>
    <t xml:space="preserve">Maracas (BA).</t>
  </si>
  <si>
    <t xml:space="preserve">Minerio de Cromo</t>
  </si>
  <si>
    <t>COMPLEMENTAR</t>
  </si>
  <si>
    <t>Cromita</t>
  </si>
  <si>
    <t>FeCr2O4</t>
  </si>
  <si>
    <t>Cr</t>
  </si>
  <si>
    <t>Ferrocromo</t>
  </si>
  <si>
    <t xml:space="preserve">NAO consta na Resolucao 2/2021. Incluida para viabilizar o aco inoxidavel. Campo Formoso (BA).</t>
  </si>
  <si>
    <t xml:space="preserve">Minerio de Zinco</t>
  </si>
  <si>
    <t>Esfalerita</t>
  </si>
  <si>
    <t>ZnS</t>
  </si>
  <si>
    <t>Zn</t>
  </si>
  <si>
    <t xml:space="preserve">Zinco refinado</t>
  </si>
  <si>
    <t xml:space="preserve">NAO consta na Resolucao 2/2021. Incluida para viabilizar latao e galvanizacao. Vazante (MG).</t>
  </si>
  <si>
    <t xml:space="preserve">Minerio de Aluminio</t>
  </si>
  <si>
    <t xml:space="preserve">Verde - Superavit</t>
  </si>
  <si>
    <t xml:space="preserve">Gibbsita (bauxita)</t>
  </si>
  <si>
    <t>Al(OH)3</t>
  </si>
  <si>
    <t>Al</t>
  </si>
  <si>
    <t xml:space="preserve">Aluminio primario</t>
  </si>
  <si>
    <t xml:space="preserve">Minerio de Ferro</t>
  </si>
  <si>
    <t>Hematita</t>
  </si>
  <si>
    <t>Fe2O3</t>
  </si>
  <si>
    <t>Fe</t>
  </si>
  <si>
    <t xml:space="preserve">Minerio de ferro</t>
  </si>
  <si>
    <t xml:space="preserve">Parede barata: pouco ataque, muita defesa.</t>
  </si>
  <si>
    <t xml:space="preserve">Minerio de Ouro</t>
  </si>
  <si>
    <t xml:space="preserve">Ouro nativo</t>
  </si>
  <si>
    <t>Au</t>
  </si>
  <si>
    <t>Ouro</t>
  </si>
  <si>
    <t xml:space="preserve">Minerio de Manganes</t>
  </si>
  <si>
    <t>Pirolusita</t>
  </si>
  <si>
    <t>MnO2</t>
  </si>
  <si>
    <t>Mn</t>
  </si>
  <si>
    <t xml:space="preserve">Minerio de manganes</t>
  </si>
  <si>
    <t xml:space="preserve">MEDIAS / TOTAL</t>
  </si>
  <si>
    <t xml:space="preserve">(medias de ataque/defesa/custo; total de cartas no pool)</t>
  </si>
  <si>
    <t xml:space="preserve">Curva de custo - diagnostico</t>
  </si>
  <si>
    <t xml:space="preserve">Se amontoar num custo so, ajuste os multiplicadores na aba Parametros.</t>
  </si>
  <si>
    <t>Custo</t>
  </si>
  <si>
    <t xml:space="preserve">Cartas unicas</t>
  </si>
  <si>
    <t xml:space="preserve">Cartas no pool</t>
  </si>
  <si>
    <t xml:space="preserve">Alvo sugerido</t>
  </si>
  <si>
    <t>Total</t>
  </si>
  <si>
    <t xml:space="preserve">Cartas por bloco principal</t>
  </si>
  <si>
    <t xml:space="preserve">Bloco I</t>
  </si>
  <si>
    <t xml:space="preserve">Bloco II</t>
  </si>
  <si>
    <t xml:space="preserve">Bloco III</t>
  </si>
  <si>
    <t xml:space="preserve">Cartas de bloco duplo (II e III)</t>
  </si>
  <si>
    <t xml:space="preserve">Ligas - a unica habilidade do jogo</t>
  </si>
  <si>
    <t xml:space="preserve">Com as cartas no seu campo, funda-as: viram uma carta so, com ataque e defesa somados, +2/+2.</t>
  </si>
  <si>
    <t>Liga</t>
  </si>
  <si>
    <t xml:space="preserve">Cartas necessarias</t>
  </si>
  <si>
    <t xml:space="preserve">O que ensina</t>
  </si>
  <si>
    <t>Aco</t>
  </si>
  <si>
    <t xml:space="preserve">Ferro + Grafita</t>
  </si>
  <si>
    <t xml:space="preserve">Fe + C: a liga base da industria.</t>
  </si>
  <si>
    <t xml:space="preserve">Aco inoxidavel</t>
  </si>
  <si>
    <t xml:space="preserve">Ferro + Cromo + Niquel</t>
  </si>
  <si>
    <t xml:space="preserve">Fe + Cr + Ni: o cromo forma a camada passiva que impede a ferrugem.</t>
  </si>
  <si>
    <t>Ferro-niobio</t>
  </si>
  <si>
    <t xml:space="preserve">Ferro + Niobio</t>
  </si>
  <si>
    <t xml:space="preserve">Fe + Nb: microliga de alta resistencia. A carta-simbolo do Brasil.</t>
  </si>
  <si>
    <t>Ferrossilicio</t>
  </si>
  <si>
    <t xml:space="preserve">Ferro + Silicio</t>
  </si>
  <si>
    <t xml:space="preserve">Fe + Si: desoxidante siderurgico e aco eletrico.</t>
  </si>
  <si>
    <t>Ferrovanadio</t>
  </si>
  <si>
    <t xml:space="preserve">Ferro + Vanadio</t>
  </si>
  <si>
    <t xml:space="preserve">Fe + V: aco HSLA, vergalhao e mola.</t>
  </si>
  <si>
    <t xml:space="preserve">Aco rapido (HSS)</t>
  </si>
  <si>
    <t xml:space="preserve">Ferro + Tungstenio + Molibdenio</t>
  </si>
  <si>
    <t xml:space="preserve">Fe + W + Mo: mantem dureza em alta temperatura.</t>
  </si>
  <si>
    <t>Galvanizacao</t>
  </si>
  <si>
    <t xml:space="preserve">Ferro + Zinco</t>
  </si>
  <si>
    <t xml:space="preserve">Fe + Zn: o zinco se corroi no lugar do aco - protecao catodica.</t>
  </si>
  <si>
    <t>Bronze</t>
  </si>
  <si>
    <t xml:space="preserve">Cobre + Estanho</t>
  </si>
  <si>
    <t xml:space="preserve">Cu + Sn: a liga que nomeia uma era.</t>
  </si>
  <si>
    <t>Latao</t>
  </si>
  <si>
    <t xml:space="preserve">Cobre + Zinco</t>
  </si>
  <si>
    <t xml:space="preserve">Cu + Zn: conexao eletrica e hidraulica.</t>
  </si>
  <si>
    <t xml:space="preserve">Solda sem chumbo</t>
  </si>
  <si>
    <t xml:space="preserve">Estanho + Cobre</t>
  </si>
  <si>
    <t xml:space="preserve">Sn + Cu: eletronica moderna, apos a restricao ao chumbo.</t>
  </si>
  <si>
    <t>Duraluminio</t>
  </si>
  <si>
    <t xml:space="preserve">Aluminio + Cobre</t>
  </si>
  <si>
    <t xml:space="preserve">Al + Cu: leveza estrutural, base da aeronautica.</t>
  </si>
  <si>
    <t xml:space="preserve">Liga Ti-6Al-4V</t>
  </si>
  <si>
    <t xml:space="preserve">Titanio + Aluminio + Vanadio</t>
  </si>
  <si>
    <t xml:space="preserve">Ti + Al + V: implante e aeroespacial. As tres na lista oficial.</t>
  </si>
  <si>
    <t xml:space="preserve">Carbeto de tungstenio</t>
  </si>
  <si>
    <t xml:space="preserve">Tungstenio + Grafita</t>
  </si>
  <si>
    <t xml:space="preserve">W + C: ferramenta de corte, dureza proxima a do diamante.</t>
  </si>
  <si>
    <t xml:space="preserve">Silicio + Grafita</t>
  </si>
  <si>
    <t xml:space="preserve">SiO2 + C: reducao carbotermica. O carbono e reagente, nao liga.</t>
  </si>
  <si>
    <t xml:space="preserve">Ima de neodimio (NdFeB)</t>
  </si>
  <si>
    <t xml:space="preserve">Terras Raras + Ferro</t>
  </si>
  <si>
    <t xml:space="preserve">ETR + Fe: motor eletrico e gerador eolico.</t>
  </si>
  <si>
    <t xml:space="preserve">Bateria de ion-litio (NMC)</t>
  </si>
  <si>
    <t xml:space="preserve">Litio + Niquel + Cobalto</t>
  </si>
  <si>
    <t xml:space="preserve">Li + Ni + Co: o coracao da transicao energetica.</t>
  </si>
  <si>
    <t xml:space="preserve">Anodo de bateria</t>
  </si>
  <si>
    <t xml:space="preserve">Grafita + Litio</t>
  </si>
  <si>
    <t xml:space="preserve">C + Li: o outro lado da celula.</t>
  </si>
  <si>
    <t xml:space="preserve">Capacitor de tantalo</t>
  </si>
  <si>
    <t xml:space="preserve">Tantalo + Manganes</t>
  </si>
  <si>
    <t xml:space="preserve">Ta + MnO2: o catodo do capacitor. Todo celular tem.</t>
  </si>
  <si>
    <t xml:space="preserve">Catalisador automotivo</t>
  </si>
  <si>
    <t xml:space="preserve">Platina + Aluminio</t>
  </si>
  <si>
    <t xml:space="preserve">PGM sobre alumina: converte o gas de escape.</t>
  </si>
  <si>
    <t xml:space="preserve">Fertilizante NPK</t>
  </si>
  <si>
    <t xml:space="preserve">Fosfato + Potassio</t>
  </si>
  <si>
    <t xml:space="preserve">P + K: seguranca alimentar. O Brasil importa a maior parte.</t>
  </si>
  <si>
    <t>Superfosfato</t>
  </si>
  <si>
    <t xml:space="preserve">Enxofre + Fosfato</t>
  </si>
  <si>
    <t xml:space="preserve">S + P: acido sulfurico ataca a rocha fosfatica.</t>
  </si>
  <si>
    <t xml:space="preserve">Regras - teste em papel</t>
  </si>
  <si>
    <t>Objetivo</t>
  </si>
  <si>
    <t xml:space="preserve">Zerar a RESERVA do adversario. Cada jogador comeca com 15.</t>
  </si>
  <si>
    <t>Energia</t>
  </si>
  <si>
    <t xml:space="preserve">A mana. Comeca em 1, sobe 1 por turno ate 9, recarrega cheia todo turno.</t>
  </si>
  <si>
    <t>Baralho</t>
  </si>
  <si>
    <t xml:space="preserve">Pool de 76 cartas. Cada jogador sorteia 15 no inicio.</t>
  </si>
  <si>
    <t xml:space="preserve">3 cartas. Quem joga em segundo compra 4.</t>
  </si>
  <si>
    <t>Compra</t>
  </si>
  <si>
    <t xml:space="preserve">1 por turno.</t>
  </si>
  <si>
    <t>Campo</t>
  </si>
  <si>
    <t xml:space="preserve">Maximo 3 minerais por jogador.</t>
  </si>
  <si>
    <t>Ataque</t>
  </si>
  <si>
    <t xml:space="preserve">Ataca outro mineral ou a reserva. Nao ataca no turno em que entra.</t>
  </si>
  <si>
    <t>Dano</t>
  </si>
  <si>
    <t xml:space="preserve">O ataque reduz a defesa do alvo. Defesa zerada, a carta sai.</t>
  </si>
  <si>
    <t>Ligas</t>
  </si>
  <si>
    <t xml:space="preserve">Cartas da liga no seu campo? Funda no seu turno: viram uma carta com ataque e defesa somados, +2/+2.</t>
  </si>
  <si>
    <t xml:space="preserve">A liga pode atacar no turno em que e formada.</t>
  </si>
  <si>
    <t xml:space="preserve">Duracao alvo</t>
  </si>
  <si>
    <t xml:space="preserve">3 a 5 minutos.</t>
  </si>
  <si>
    <t xml:space="preserve">A TESTAR</t>
  </si>
  <si>
    <t xml:space="preserve">Passou de 5 min? Reserva 15 -&gt; 12.</t>
  </si>
  <si>
    <t xml:space="preserve">Ninguem forma liga? Compra 2 por turno.</t>
  </si>
  <si>
    <t xml:space="preserve">Liga dominando? Tire o +2/+2 e deixe so a soma.</t>
  </si>
  <si>
    <t xml:space="preserve">Bloco I inutil? Suba as copias de 2 para 3.</t>
  </si>
  <si>
    <t xml:space="preserve">Decisoes em aberto</t>
  </si>
  <si>
    <t>Questao</t>
  </si>
  <si>
    <t xml:space="preserve">Situacao / sugestao</t>
  </si>
  <si>
    <t xml:space="preserve">Talio - REMOVIDO</t>
  </si>
  <si>
    <t xml:space="preserve">Estava na Resolucao, mas nao ha lavra de talio no Brasil (so subproduto de torrefacao de sulfetos). Retirado do baralho por decisao de projeto. Se algum revisor cobrar, a justificativa e ausencia de mineral de referencia brasileiro.</t>
  </si>
  <si>
    <t xml:space="preserve">Cromo e zinco - ADICIONADOS fora da lista</t>
  </si>
  <si>
    <t xml:space="preserve">Nao constam na Resolucao 2/2021. Incluidos para viabilizar aco inox, latao, galvanizacao e solda. Marcados como COMPLEMENTAR na coluna E - manter essa marcacao em qualquer publicacao.</t>
  </si>
  <si>
    <t xml:space="preserve">Bloco duplo (cobre, grafita, niobio, uranio)</t>
  </si>
  <si>
    <t xml:space="preserve">Adotei: bloco principal = II (tecnologia), com selo de superavit na coluna D. Se preferir o inverso, e so trocar as colunas C e D.</t>
  </si>
  <si>
    <t xml:space="preserve">Precos sao ilustrativos</t>
  </si>
  <si>
    <t xml:space="preserve">Trocar por ANM (Anuario Mineral Brasileiro) e USGS antes de qualquer publicacao.</t>
  </si>
  <si>
    <t xml:space="preserve">Base de preco mistura minerio e metal</t>
  </si>
  <si>
    <t xml:space="preserve">Segui a logica dos proprios blocos: Bloco II usa metal refinado (aplicacao tecnologica), Bloco III usa minerio (balanca comercial). Declarado linha a linha na coluna K.</t>
  </si>
  <si>
    <t xml:space="preserve">Cobalto e subproduto</t>
  </si>
  <si>
    <t xml:space="preserve">Referencia trocada de cobaltita para asbolana da zona limonitica da laterita niquelifera - que e a fase portadora real no Brasil. Isso derruba a defesa de 6 para 3: carta cara e fragil, coerente com nao existir mina propria.</t>
  </si>
  <si>
    <t xml:space="preserve">Terras raras</t>
  </si>
  <si>
    <t xml:space="preserve">Argila ionica como referencia (Mohs ~1,5), nao monazita. Da defesa 2 - a carta mais fragil e uma das mais caras.</t>
  </si>
  <si>
    <t xml:space="preserve">So 24 cartas unicas</t>
  </si>
  <si>
    <t xml:space="preserve">Com baralho de 15, as partidas variam pouco. Se ficar repetitivo, reduza o baralho para 12 ou aumente as copias assimetricamente.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</si>
</sst>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</font>
    <font>
      <sz val="10.000000"/>
      <name val="Arial"/>
    </font>
    <font>
      <b/>
      <sz val="13.000000"/>
      <name val="Arial"/>
    </font>
    <font>
      <i/>
      <sz val="9.000000"/>
      <color rgb="FF595959"/>
      <name val="Arial"/>
    </font>
    <font>
      <b/>
      <sz val="10.000000"/>
      <color indexed="65"/>
      <name val="Arial"/>
    </font>
    <font>
      <sz val="10.000000"/>
      <color indexed="4"/>
      <name val="Arial"/>
    </font>
    <font>
      <b/>
      <sz val="10.000000"/>
      <name val="Arial"/>
    </font>
    <font>
      <i/>
      <sz val="9.000000"/>
      <color rgb="FFC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3"/>
      </patternFill>
    </fill>
    <fill>
      <patternFill patternType="solid">
        <fgColor indexed="5"/>
        <bgColor indexed="5"/>
      </patternFill>
    </fill>
    <fill>
      <patternFill patternType="solid">
        <fgColor rgb="FFF8CBAD"/>
        <bgColor rgb="FFD9D2E9"/>
      </patternFill>
    </fill>
    <fill>
      <patternFill patternType="solid">
        <fgColor rgb="FFD9D2E9"/>
        <bgColor rgb="FFD9EAD3"/>
      </patternFill>
    </fill>
    <fill>
      <patternFill patternType="solid">
        <fgColor rgb="FFD9EAD3"/>
        <bgColor rgb="FFD9D2E9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23">
    <xf fontId="0" fillId="0" borderId="0" numFmtId="0" xfId="0" applyProtection="0">
      <protection hidden="0" locked="1"/>
    </xf>
    <xf fontId="0" fillId="0" borderId="0" numFmtId="0" xfId="0" applyProtection="0">
      <protection hidden="0" locked="1"/>
    </xf>
    <xf fontId="2" fillId="0" borderId="0" numFmtId="0" xfId="0" applyFont="1" applyProtection="0">
      <protection hidden="0" locked="1"/>
    </xf>
    <xf fontId="3" fillId="0" borderId="0" numFmtId="0" xfId="0" applyFont="1" applyProtection="0">
      <protection hidden="0" locked="1"/>
    </xf>
    <xf fontId="4" fillId="2" borderId="0" numFmtId="0" xfId="0" applyFont="1" applyFill="1" applyProtection="0">
      <protection hidden="0" locked="1"/>
    </xf>
    <xf fontId="1" fillId="0" borderId="0" numFmtId="0" xfId="0" applyFont="1" applyProtection="0">
      <protection hidden="0" locked="1"/>
    </xf>
    <xf fontId="5" fillId="3" borderId="0" numFmtId="0" xfId="0" applyFont="1" applyFill="1" applyProtection="0">
      <protection hidden="0" locked="1"/>
    </xf>
    <xf fontId="6" fillId="0" borderId="0" numFmtId="0" xfId="0" applyFont="1" applyProtection="0">
      <protection hidden="0" locked="1"/>
    </xf>
    <xf fontId="4" fillId="2" borderId="0" numFmtId="0" xfId="0" applyFont="1" applyFill="1" applyAlignment="1" applyProtection="0">
      <alignment horizontal="center" wrapText="1"/>
      <protection hidden="0" locked="1"/>
    </xf>
    <xf fontId="1" fillId="0" borderId="1" numFmtId="0" xfId="0" applyFont="1" applyBorder="1" applyProtection="0">
      <protection hidden="0" locked="1"/>
    </xf>
    <xf fontId="5" fillId="0" borderId="1" numFmtId="0" xfId="0" applyFont="1" applyBorder="1" applyProtection="0">
      <protection hidden="0" locked="1"/>
    </xf>
    <xf fontId="5" fillId="4" borderId="1" numFmtId="0" xfId="0" applyFont="1" applyFill="1" applyBorder="1" applyProtection="0">
      <protection hidden="0" locked="1"/>
    </xf>
    <xf fontId="1" fillId="4" borderId="1" numFmtId="0" xfId="0" applyFont="1" applyFill="1" applyBorder="1" applyProtection="0">
      <protection hidden="0" locked="1"/>
    </xf>
    <xf fontId="5" fillId="0" borderId="1" numFmtId="3" xfId="0" applyNumberFormat="1" applyFont="1" applyBorder="1" applyProtection="0">
      <protection hidden="0" locked="1"/>
    </xf>
    <xf fontId="1" fillId="0" borderId="1" numFmtId="0" xfId="0" applyFont="1" applyBorder="1" applyAlignment="1" applyProtection="0">
      <alignment horizontal="center"/>
      <protection hidden="0" locked="1"/>
    </xf>
    <xf fontId="3" fillId="0" borderId="1" numFmtId="0" xfId="0" applyFont="1" applyBorder="1" applyProtection="0">
      <protection hidden="0" locked="1"/>
    </xf>
    <xf fontId="5" fillId="5" borderId="1" numFmtId="0" xfId="0" applyFont="1" applyFill="1" applyBorder="1" applyProtection="0">
      <protection hidden="0" locked="1"/>
    </xf>
    <xf fontId="1" fillId="5" borderId="1" numFmtId="0" xfId="0" applyFont="1" applyFill="1" applyBorder="1" applyProtection="0">
      <protection hidden="0" locked="1"/>
    </xf>
    <xf fontId="7" fillId="0" borderId="1" numFmtId="0" xfId="0" applyFont="1" applyBorder="1" applyProtection="0">
      <protection hidden="0" locked="1"/>
    </xf>
    <xf fontId="5" fillId="6" borderId="1" numFmtId="0" xfId="0" applyFont="1" applyFill="1" applyBorder="1" applyProtection="0">
      <protection hidden="0" locked="1"/>
    </xf>
    <xf fontId="1" fillId="6" borderId="1" numFmtId="0" xfId="0" applyFont="1" applyFill="1" applyBorder="1" applyProtection="0">
      <protection hidden="0" locked="1"/>
    </xf>
    <xf fontId="5" fillId="0" borderId="0" numFmtId="0" xfId="0" applyFont="1" applyProtection="0">
      <protection hidden="0" locked="1"/>
    </xf>
    <xf fontId="1" fillId="0" borderId="0" numFmtId="0" xfId="0" applyFont="1" applyAlignment="1" applyProtection="0">
      <alignment vertical="top" wrapText="1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4.25"/>
  <cols>
    <col customWidth="1" min="1" max="1" style="1" width="46"/>
    <col customWidth="1" min="2" max="2" style="1" width="12"/>
    <col customWidth="1" min="3" max="3" style="1" width="52"/>
  </cols>
  <sheetData>
    <row r="1" ht="15.75" customHeight="1">
      <c r="A1" s="2" t="s">
        <v>0</v>
      </c>
    </row>
    <row r="2" ht="15" customHeight="1">
      <c r="A2" s="3" t="s">
        <v>1</v>
      </c>
    </row>
    <row r="4" ht="15" customHeight="1">
      <c r="A4" s="4" t="s">
        <v>2</v>
      </c>
      <c r="B4" s="4" t="s">
        <v>3</v>
      </c>
      <c r="C4" s="4" t="s">
        <v>4</v>
      </c>
    </row>
    <row r="5" ht="15" customHeight="1">
      <c r="A5" s="5" t="s">
        <v>5</v>
      </c>
      <c r="B5" s="6">
        <v>2</v>
      </c>
      <c r="C5" s="3" t="s">
        <v>6</v>
      </c>
    </row>
    <row r="6" ht="15" customHeight="1">
      <c r="A6" s="5" t="s">
        <v>7</v>
      </c>
      <c r="B6" s="6">
        <v>1.5</v>
      </c>
      <c r="C6" s="3" t="s">
        <v>8</v>
      </c>
    </row>
    <row r="7" ht="15" customHeight="1">
      <c r="A7" s="5" t="s">
        <v>9</v>
      </c>
      <c r="B7" s="6">
        <v>1</v>
      </c>
      <c r="C7" s="3"/>
    </row>
    <row r="8" ht="15" customHeight="1">
      <c r="A8" s="5" t="s">
        <v>10</v>
      </c>
      <c r="B8" s="6">
        <v>9</v>
      </c>
      <c r="C8" s="3"/>
    </row>
    <row r="9" ht="15" customHeight="1">
      <c r="A9" s="5" t="s">
        <v>11</v>
      </c>
      <c r="B9" s="6">
        <v>1.1499999999999999</v>
      </c>
      <c r="C9" s="3" t="s">
        <v>12</v>
      </c>
    </row>
    <row r="10" ht="15" customHeight="1">
      <c r="A10" s="5" t="s">
        <v>13</v>
      </c>
      <c r="B10" s="6">
        <v>1</v>
      </c>
      <c r="C10" s="3" t="s">
        <v>14</v>
      </c>
    </row>
    <row r="11" ht="15" customHeight="1">
      <c r="A11" s="5" t="s">
        <v>15</v>
      </c>
      <c r="B11" s="6">
        <v>0.80000000000000004</v>
      </c>
      <c r="C11" s="3" t="s">
        <v>16</v>
      </c>
    </row>
    <row r="12" ht="15" customHeight="1">
      <c r="A12" s="5" t="s">
        <v>17</v>
      </c>
      <c r="B12" s="6">
        <v>1</v>
      </c>
      <c r="C12" s="3"/>
    </row>
    <row r="13" ht="15" customHeight="1">
      <c r="A13" s="5" t="s">
        <v>18</v>
      </c>
      <c r="B13" s="6">
        <v>9</v>
      </c>
      <c r="C13" s="3"/>
    </row>
    <row r="14" ht="15" customHeight="1">
      <c r="A14" s="5" t="s">
        <v>19</v>
      </c>
      <c r="B14" s="6">
        <v>2</v>
      </c>
      <c r="C14" s="3" t="s">
        <v>20</v>
      </c>
    </row>
    <row r="15" ht="15" customHeight="1">
      <c r="A15" s="5" t="s">
        <v>21</v>
      </c>
      <c r="B15" s="6">
        <v>3</v>
      </c>
      <c r="C15" s="3"/>
    </row>
    <row r="16" ht="15" customHeight="1">
      <c r="A16" s="5" t="s">
        <v>22</v>
      </c>
      <c r="B16" s="6">
        <v>4</v>
      </c>
      <c r="C16" s="3"/>
    </row>
    <row r="17" ht="15" customHeight="1">
      <c r="A17" s="5" t="s">
        <v>23</v>
      </c>
      <c r="B17" s="6">
        <v>15</v>
      </c>
      <c r="C17" s="3" t="s">
        <v>24</v>
      </c>
    </row>
    <row r="18" ht="15" customHeight="1">
      <c r="A18" s="5" t="s">
        <v>25</v>
      </c>
      <c r="B18" s="6">
        <v>18</v>
      </c>
      <c r="C18" s="3" t="s">
        <v>26</v>
      </c>
    </row>
    <row r="19" ht="15" customHeight="1">
      <c r="A19" s="5" t="s">
        <v>27</v>
      </c>
      <c r="B19" s="6">
        <v>3</v>
      </c>
      <c r="C19" s="3" t="s">
        <v>28</v>
      </c>
    </row>
    <row r="22" ht="15" customHeight="1">
      <c r="A22" s="7" t="s">
        <v>29</v>
      </c>
    </row>
    <row r="23" ht="15" customHeight="1">
      <c r="A23" s="5" t="s">
        <v>30</v>
      </c>
    </row>
    <row r="24" ht="15" customHeight="1">
      <c r="A24" s="5" t="s">
        <v>31</v>
      </c>
    </row>
    <row r="25" ht="15" customHeight="1">
      <c r="A25" s="5" t="s">
        <v>32</v>
      </c>
    </row>
    <row r="27" ht="15" customHeight="1">
      <c r="A27" s="7" t="s">
        <v>33</v>
      </c>
    </row>
    <row r="28" ht="15" customHeight="1">
      <c r="A28" s="5" t="s">
        <v>34</v>
      </c>
    </row>
    <row r="29" ht="15" customHeight="1">
      <c r="A29" s="5" t="s">
        <v>35</v>
      </c>
    </row>
    <row r="30" ht="15" customHeight="1">
      <c r="A30" s="5" t="s">
        <v>36</v>
      </c>
    </row>
    <row r="32" ht="15" customHeight="1">
      <c r="A32" s="7" t="s">
        <v>37</v>
      </c>
    </row>
    <row r="33" ht="15" customHeight="1">
      <c r="A33" s="3" t="s">
        <v>38</v>
      </c>
    </row>
    <row r="34" ht="15" customHeight="1">
      <c r="A34" s="3" t="s">
        <v>39</v>
      </c>
    </row>
    <row r="35" ht="15" customHeight="1">
      <c r="A35" s="3" t="s">
        <v>40</v>
      </c>
    </row>
    <row r="36" ht="15" customHeight="1">
      <c r="A36" s="3" t="s">
        <v>41</v>
      </c>
    </row>
    <row r="37" ht="15" customHeight="1">
      <c r="A37" s="3" t="s">
        <v>42</v>
      </c>
    </row>
    <row r="40" ht="15" customHeight="1">
      <c r="A40" s="1" t="s">
        <v>43</v>
      </c>
    </row>
    <row r="41" ht="15" customHeight="1">
      <c r="A41" s="1" t="s">
        <v>44</v>
      </c>
    </row>
    <row r="43" ht="15" customHeight="1">
      <c r="A43" s="1" t="s">
        <v>45</v>
      </c>
      <c r="B43" s="1" t="s">
        <v>46</v>
      </c>
      <c r="C43" s="1" t="s">
        <v>47</v>
      </c>
    </row>
    <row r="44" ht="15" customHeight="1">
      <c r="A44" s="1" t="s">
        <v>48</v>
      </c>
      <c r="B44" s="1">
        <v>5</v>
      </c>
      <c r="C44" s="1" t="s">
        <v>49</v>
      </c>
    </row>
    <row r="45" ht="15" customHeight="1">
      <c r="A45" s="1" t="s">
        <v>50</v>
      </c>
      <c r="B45" s="1">
        <v>2</v>
      </c>
      <c r="C45" s="1" t="s">
        <v>51</v>
      </c>
    </row>
    <row r="46" ht="15" customHeight="1">
      <c r="A46" s="1" t="s">
        <v>52</v>
      </c>
      <c r="B46" s="1">
        <v>2</v>
      </c>
      <c r="C46" s="1" t="s">
        <v>53</v>
      </c>
    </row>
    <row r="47" ht="15" customHeight="1">
      <c r="A47" s="1" t="s">
        <v>54</v>
      </c>
      <c r="B47" s="1">
        <v>1</v>
      </c>
      <c r="C47" s="1" t="s">
        <v>55</v>
      </c>
    </row>
    <row r="48" ht="15" customHeight="1">
      <c r="A48" s="1" t="s">
        <v>56</v>
      </c>
      <c r="B48" s="1">
        <v>2</v>
      </c>
    </row>
    <row r="49" ht="15" customHeight="1">
      <c r="A49" s="1" t="s">
        <v>57</v>
      </c>
      <c r="B49" s="1">
        <v>9</v>
      </c>
    </row>
    <row r="50" ht="15" customHeight="1">
      <c r="A50" s="1" t="s">
        <v>58</v>
      </c>
      <c r="B50" s="1">
        <v>3</v>
      </c>
      <c r="C50" s="1" t="s">
        <v>59</v>
      </c>
    </row>
    <row r="51" ht="15" customHeight="1">
      <c r="A51" s="1" t="s">
        <v>60</v>
      </c>
      <c r="B51" s="1">
        <v>8</v>
      </c>
      <c r="C51" s="1" t="s">
        <v>61</v>
      </c>
    </row>
    <row r="52" ht="15" customHeight="1">
      <c r="A52" s="1" t="s">
        <v>62</v>
      </c>
      <c r="B52" s="1">
        <v>1</v>
      </c>
      <c r="C52" s="1" t="s">
        <v>63</v>
      </c>
    </row>
    <row r="53" ht="15" customHeight="1">
      <c r="A53" s="1" t="s">
        <v>64</v>
      </c>
      <c r="B53" s="1">
        <v>2</v>
      </c>
      <c r="C53" s="1" t="s">
        <v>65</v>
      </c>
    </row>
    <row r="54" ht="15" customHeight="1">
      <c r="A54" s="1" t="s">
        <v>66</v>
      </c>
      <c r="B54" s="1">
        <v>2</v>
      </c>
      <c r="C54" s="1" t="s">
        <v>67</v>
      </c>
    </row>
    <row r="55" ht="15" customHeight="1">
      <c r="A55" s="1" t="s">
        <v>68</v>
      </c>
      <c r="B55" s="1">
        <v>3</v>
      </c>
      <c r="C55" s="1" t="s">
        <v>69</v>
      </c>
    </row>
    <row r="56" ht="15" customHeight="1">
      <c r="A56" s="1" t="s">
        <v>70</v>
      </c>
      <c r="B56" s="1">
        <v>2</v>
      </c>
      <c r="C56" s="1" t="s">
        <v>71</v>
      </c>
    </row>
    <row r="57" ht="15" customHeight="1">
      <c r="A57" s="1" t="s">
        <v>72</v>
      </c>
      <c r="B57" s="1">
        <v>2</v>
      </c>
      <c r="C57" s="1" t="s">
        <v>73</v>
      </c>
    </row>
    <row r="58" ht="15" customHeight="1">
      <c r="A58" s="1" t="s">
        <v>74</v>
      </c>
      <c r="B58" s="1">
        <v>1</v>
      </c>
      <c r="C58" s="1" t="s">
        <v>75</v>
      </c>
    </row>
    <row r="59" ht="15" customHeight="1">
      <c r="A59" s="1" t="s">
        <v>76</v>
      </c>
      <c r="C59" s="1" t="s">
        <v>77</v>
      </c>
    </row>
    <row r="60" ht="15">
      <c r="A60" s="1" t="s">
        <v>78</v>
      </c>
      <c r="B60" s="1">
        <v>1</v>
      </c>
      <c r="C60" s="1" t="s">
        <v>79</v>
      </c>
    </row>
    <row r="61" ht="15">
      <c r="A61" s="1" t="s">
        <v>80</v>
      </c>
      <c r="B61" s="1">
        <v>0</v>
      </c>
      <c r="C61" s="1" t="s">
        <v>81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xSplit="2" ySplit="4" topLeftCell="C5" activePane="bottomRight" state="frozen"/>
      <selection activeCell="A1" activeCellId="0" sqref="A1"/>
    </sheetView>
  </sheetViews>
  <sheetFormatPr defaultColWidth="8.6796875" defaultRowHeight="15"/>
  <cols>
    <col customWidth="1" min="1" max="1" style="1" width="4"/>
    <col customWidth="1" min="2" max="2" style="1" width="26"/>
    <col customWidth="1" min="3" max="3" style="1" width="7"/>
    <col customWidth="1" min="4" max="5" style="1" width="14"/>
    <col customWidth="1" min="6" max="6" style="1" width="22"/>
    <col customWidth="1" min="7" max="7" style="1" width="30"/>
    <col customWidth="1" min="8" max="8" style="1" width="26"/>
    <col customWidth="1" min="9" max="9" style="1" width="10"/>
    <col customWidth="1" min="10" max="10" style="1" width="7"/>
    <col customWidth="1" min="11" max="11" style="1" width="16"/>
    <col customWidth="1" min="12" max="12" style="1" width="24"/>
    <col customWidth="1" min="13" max="15" style="1" width="9"/>
    <col customWidth="1" min="16" max="16" style="1" width="8"/>
    <col customWidth="1" min="17" max="17" style="1" width="58"/>
  </cols>
  <sheetData>
    <row r="1" ht="15.75" customHeight="1">
      <c r="A1" s="2" t="s">
        <v>82</v>
      </c>
    </row>
    <row r="2" ht="15" customHeight="1">
      <c r="A2" s="3" t="s">
        <v>83</v>
      </c>
    </row>
    <row r="3" ht="15" customHeight="1">
      <c r="R3" s="1" t="s">
        <v>84</v>
      </c>
    </row>
    <row r="4" ht="23.25" customHeight="1">
      <c r="A4" s="8" t="s">
        <v>85</v>
      </c>
      <c r="B4" s="8" t="s">
        <v>86</v>
      </c>
      <c r="C4" s="8" t="s">
        <v>87</v>
      </c>
      <c r="D4" s="8" t="s">
        <v>88</v>
      </c>
      <c r="E4" s="8" t="s">
        <v>89</v>
      </c>
      <c r="F4" s="8" t="s">
        <v>90</v>
      </c>
      <c r="G4" s="8" t="s">
        <v>91</v>
      </c>
      <c r="H4" s="8" t="s">
        <v>92</v>
      </c>
      <c r="I4" s="8" t="s">
        <v>93</v>
      </c>
      <c r="J4" s="8" t="s">
        <v>94</v>
      </c>
      <c r="K4" s="8" t="s">
        <v>95</v>
      </c>
      <c r="L4" s="8" t="s">
        <v>96</v>
      </c>
      <c r="M4" s="8" t="s">
        <v>97</v>
      </c>
      <c r="N4" s="8" t="s">
        <v>98</v>
      </c>
      <c r="O4" s="8" t="s">
        <v>99</v>
      </c>
      <c r="P4" s="8" t="s">
        <v>100</v>
      </c>
      <c r="Q4" s="8" t="s">
        <v>101</v>
      </c>
      <c r="R4" s="1" t="s">
        <v>102</v>
      </c>
    </row>
    <row r="5" ht="15" customHeight="1">
      <c r="A5" s="9">
        <v>1</v>
      </c>
      <c r="B5" s="10" t="s">
        <v>103</v>
      </c>
      <c r="C5" s="11" t="s">
        <v>104</v>
      </c>
      <c r="D5" s="10"/>
      <c r="E5" s="10" t="s">
        <v>105</v>
      </c>
      <c r="F5" s="12" t="s">
        <v>106</v>
      </c>
      <c r="G5" s="10" t="s">
        <v>107</v>
      </c>
      <c r="H5" s="10" t="s">
        <v>108</v>
      </c>
      <c r="I5" s="10" t="s">
        <v>108</v>
      </c>
      <c r="J5" s="10">
        <v>2</v>
      </c>
      <c r="K5" s="13">
        <v>100</v>
      </c>
      <c r="L5" s="10" t="s">
        <v>109</v>
      </c>
      <c r="M5" s="14">
        <f>MIN(Parametros!$B$8,MAX(Parametros!$B$7,ROUND((LOG10(K5)-Parametros!$B$5)*Parametros!$B$6+1,0)))</f>
        <v>1</v>
      </c>
      <c r="N5" s="14">
        <f t="shared" ref="N5:N9" si="0">ROUND(J5,0)</f>
        <v>2</v>
      </c>
      <c r="O5" s="14">
        <f>MIN(Parametros!$B$13,MAX(Parametros!$B$12,ROUND((M5+N5)/2*IF(C5="I",Parametros!$B$9,IF(C5="II",Parametros!$B$10,Parametros!$B$11)),0)))</f>
        <v>2</v>
      </c>
      <c r="P5" s="14">
        <f>IF(C5="I",Parametros!$B$14,IF(C5="II",Parametros!$B$15,Parametros!$B$16))</f>
        <v>2</v>
      </c>
      <c r="Q5" s="15"/>
      <c r="R5" s="1">
        <v>0</v>
      </c>
    </row>
    <row r="6" ht="15" customHeight="1">
      <c r="A6" s="9">
        <v>2</v>
      </c>
      <c r="B6" s="10" t="s">
        <v>110</v>
      </c>
      <c r="C6" s="11" t="s">
        <v>104</v>
      </c>
      <c r="D6" s="10"/>
      <c r="E6" s="10" t="s">
        <v>105</v>
      </c>
      <c r="F6" s="12" t="s">
        <v>106</v>
      </c>
      <c r="G6" s="10" t="s">
        <v>111</v>
      </c>
      <c r="H6" s="10" t="s">
        <v>112</v>
      </c>
      <c r="I6" s="10" t="s">
        <v>113</v>
      </c>
      <c r="J6" s="10">
        <v>5</v>
      </c>
      <c r="K6" s="13">
        <v>300</v>
      </c>
      <c r="L6" s="10" t="s">
        <v>114</v>
      </c>
      <c r="M6" s="14">
        <f>MIN(Parametros!$B$8,MAX(Parametros!$B$7,ROUND((LOG10(K6)-Parametros!$B$5)*Parametros!$B$6+1,0)))</f>
        <v>2</v>
      </c>
      <c r="N6" s="14">
        <f t="shared" si="0"/>
        <v>5</v>
      </c>
      <c r="O6" s="14">
        <f>MIN(Parametros!$B$13,MAX(Parametros!$B$12,ROUND((M6+N6)/2*IF(C6="I",Parametros!$B$9,IF(C6="II",Parametros!$B$10,Parametros!$B$11)),0)))</f>
        <v>4</v>
      </c>
      <c r="P6" s="14">
        <f>IF(C6="I",Parametros!$B$14,IF(C6="II",Parametros!$B$15,Parametros!$B$16))</f>
        <v>2</v>
      </c>
      <c r="Q6" s="15"/>
      <c r="R6" s="1">
        <v>0</v>
      </c>
    </row>
    <row r="7" ht="15" customHeight="1">
      <c r="A7" s="9">
        <v>3</v>
      </c>
      <c r="B7" s="10" t="s">
        <v>115</v>
      </c>
      <c r="C7" s="11" t="s">
        <v>104</v>
      </c>
      <c r="D7" s="10"/>
      <c r="E7" s="10" t="s">
        <v>105</v>
      </c>
      <c r="F7" s="12" t="s">
        <v>106</v>
      </c>
      <c r="G7" s="10" t="s">
        <v>116</v>
      </c>
      <c r="H7" s="10" t="s">
        <v>117</v>
      </c>
      <c r="I7" s="10" t="s">
        <v>118</v>
      </c>
      <c r="J7" s="10">
        <v>2</v>
      </c>
      <c r="K7" s="13">
        <v>320</v>
      </c>
      <c r="L7" s="10" t="s">
        <v>119</v>
      </c>
      <c r="M7" s="14">
        <f>MIN(Parametros!$B$8,MAX(Parametros!$B$7,ROUND((LOG10(K7)-Parametros!$B$5)*Parametros!$B$6+1,0)))</f>
        <v>2</v>
      </c>
      <c r="N7" s="14">
        <f t="shared" si="0"/>
        <v>2</v>
      </c>
      <c r="O7" s="14">
        <f>MIN(Parametros!$B$13,MAX(Parametros!$B$12,ROUND((M7+N7)/2*IF(C7="I",Parametros!$B$9,IF(C7="II",Parametros!$B$10,Parametros!$B$11)),0)))</f>
        <v>2</v>
      </c>
      <c r="P7" s="14">
        <f>IF(C7="I",Parametros!$B$14,IF(C7="II",Parametros!$B$15,Parametros!$B$16))</f>
        <v>2</v>
      </c>
      <c r="Q7" s="15"/>
      <c r="R7" s="1">
        <v>0</v>
      </c>
    </row>
    <row r="8" ht="15" customHeight="1">
      <c r="A8" s="9">
        <v>4</v>
      </c>
      <c r="B8" s="10" t="s">
        <v>120</v>
      </c>
      <c r="C8" s="11" t="s">
        <v>104</v>
      </c>
      <c r="D8" s="10"/>
      <c r="E8" s="10" t="s">
        <v>105</v>
      </c>
      <c r="F8" s="12" t="s">
        <v>106</v>
      </c>
      <c r="G8" s="10" t="s">
        <v>121</v>
      </c>
      <c r="H8" s="10" t="s">
        <v>122</v>
      </c>
      <c r="I8" s="10" t="s">
        <v>123</v>
      </c>
      <c r="J8" s="10">
        <v>1.25</v>
      </c>
      <c r="K8" s="13">
        <v>40000</v>
      </c>
      <c r="L8" s="10" t="s">
        <v>124</v>
      </c>
      <c r="M8" s="14">
        <f>MIN(Parametros!$B$8,MAX(Parametros!$B$7,ROUND((LOG10(K8)-Parametros!$B$5)*Parametros!$B$6+1,0)))</f>
        <v>5</v>
      </c>
      <c r="N8" s="14">
        <f t="shared" si="0"/>
        <v>1</v>
      </c>
      <c r="O8" s="14">
        <f>MIN(Parametros!$B$13,MAX(Parametros!$B$12,ROUND((M8+N8)/2*IF(C8="I",Parametros!$B$9,IF(C8="II",Parametros!$B$10,Parametros!$B$11)),0)))</f>
        <v>3</v>
      </c>
      <c r="P8" s="14">
        <f>IF(C8="I",Parametros!$B$14,IF(C8="II",Parametros!$B$15,Parametros!$B$16))</f>
        <v>2</v>
      </c>
      <c r="Q8" s="15" t="s">
        <v>125</v>
      </c>
      <c r="R8" s="1">
        <v>0</v>
      </c>
    </row>
    <row r="9" ht="15" customHeight="1">
      <c r="A9" s="9">
        <v>5</v>
      </c>
      <c r="B9" s="10" t="s">
        <v>126</v>
      </c>
      <c r="C9" s="16" t="s">
        <v>127</v>
      </c>
      <c r="D9" s="10"/>
      <c r="E9" s="10" t="s">
        <v>105</v>
      </c>
      <c r="F9" s="17" t="s">
        <v>128</v>
      </c>
      <c r="G9" s="10" t="s">
        <v>129</v>
      </c>
      <c r="H9" s="10" t="s">
        <v>130</v>
      </c>
      <c r="I9" s="10" t="s">
        <v>131</v>
      </c>
      <c r="J9" s="10">
        <v>2.5</v>
      </c>
      <c r="K9" s="13">
        <v>30000</v>
      </c>
      <c r="L9" s="10" t="s">
        <v>132</v>
      </c>
      <c r="M9" s="14">
        <f>MIN(Parametros!$B$8,MAX(Parametros!$B$7,ROUND((LOG10(K9)-Parametros!$B$5)*Parametros!$B$6+1,0)))</f>
        <v>5</v>
      </c>
      <c r="N9" s="14">
        <f t="shared" si="0"/>
        <v>3</v>
      </c>
      <c r="O9" s="14">
        <f>MIN(Parametros!$B$13,MAX(Parametros!$B$12,ROUND((M9+N9)/2*IF(C9="I",Parametros!$B$9,IF(C9="II",Parametros!$B$10,Parametros!$B$11)),0)))</f>
        <v>4</v>
      </c>
      <c r="P9" s="14">
        <f>IF(C9="I",Parametros!$B$14,IF(C9="II",Parametros!$B$15,Parametros!$B$16))</f>
        <v>3</v>
      </c>
      <c r="Q9" s="18" t="s">
        <v>133</v>
      </c>
      <c r="R9" s="1">
        <v>0</v>
      </c>
    </row>
    <row r="10" ht="15" customHeight="1">
      <c r="A10" s="9">
        <v>6</v>
      </c>
      <c r="B10" s="10" t="s">
        <v>134</v>
      </c>
      <c r="C10" s="16" t="s">
        <v>127</v>
      </c>
      <c r="D10" s="19" t="s">
        <v>135</v>
      </c>
      <c r="E10" s="10" t="s">
        <v>105</v>
      </c>
      <c r="F10" s="17" t="s">
        <v>128</v>
      </c>
      <c r="G10" s="10" t="s">
        <v>136</v>
      </c>
      <c r="H10" s="10" t="s">
        <v>137</v>
      </c>
      <c r="I10" s="10" t="s">
        <v>138</v>
      </c>
      <c r="J10" s="10">
        <v>3.75</v>
      </c>
      <c r="K10" s="13">
        <v>9200</v>
      </c>
      <c r="L10" s="10" t="s">
        <v>139</v>
      </c>
      <c r="M10" s="14">
        <f>MIN(Parametros!$B$8,MAX(Parametros!$B$7,ROUND((LOG10(K10)-Parametros!$B$5)*Parametros!$B$6+1,0)))</f>
        <v>4</v>
      </c>
      <c r="N10" s="14">
        <f t="shared" ref="N10:N29" si="1">ROUND(J10,0)</f>
        <v>4</v>
      </c>
      <c r="O10" s="14">
        <f>MIN(Parametros!$B$13,MAX(Parametros!$B$12,ROUND((M10+N10)/2*IF(C10="I",Parametros!$B$9,IF(C10="II",Parametros!$B$10,Parametros!$B$11)),0)))</f>
        <v>4</v>
      </c>
      <c r="P10" s="14">
        <f>IF(C10="I",Parametros!$B$14,IF(C10="II",Parametros!$B$15,Parametros!$B$16))</f>
        <v>3</v>
      </c>
      <c r="Q10" s="15" t="s">
        <v>140</v>
      </c>
      <c r="R10" s="1">
        <v>1</v>
      </c>
    </row>
    <row r="11" ht="15" customHeight="1">
      <c r="A11" s="9">
        <v>7</v>
      </c>
      <c r="B11" s="10" t="s">
        <v>141</v>
      </c>
      <c r="C11" s="16" t="s">
        <v>127</v>
      </c>
      <c r="D11" s="10"/>
      <c r="E11" s="10" t="s">
        <v>105</v>
      </c>
      <c r="F11" s="17" t="s">
        <v>128</v>
      </c>
      <c r="G11" s="10" t="s">
        <v>142</v>
      </c>
      <c r="H11" s="10" t="s">
        <v>143</v>
      </c>
      <c r="I11" s="10" t="s">
        <v>144</v>
      </c>
      <c r="J11" s="10">
        <v>6.5</v>
      </c>
      <c r="K11" s="13">
        <v>31000</v>
      </c>
      <c r="L11" s="10" t="s">
        <v>145</v>
      </c>
      <c r="M11" s="14">
        <f>MIN(Parametros!$B$8,MAX(Parametros!$B$7,ROUND((LOG10(K11)-Parametros!$B$5)*Parametros!$B$6+1,0)))</f>
        <v>5</v>
      </c>
      <c r="N11" s="14">
        <f t="shared" si="1"/>
        <v>7</v>
      </c>
      <c r="O11" s="14">
        <f>MIN(Parametros!$B$13,MAX(Parametros!$B$12,ROUND((M11+N11)/2*IF(C11="I",Parametros!$B$9,IF(C11="II",Parametros!$B$10,Parametros!$B$11)),0)))</f>
        <v>6</v>
      </c>
      <c r="P11" s="14">
        <f>IF(C11="I",Parametros!$B$14,IF(C11="II",Parametros!$B$15,Parametros!$B$16))</f>
        <v>3</v>
      </c>
      <c r="Q11" s="15" t="s">
        <v>146</v>
      </c>
      <c r="R11" s="1">
        <v>0</v>
      </c>
    </row>
    <row r="12" ht="15" customHeight="1">
      <c r="A12" s="9">
        <v>8</v>
      </c>
      <c r="B12" s="10" t="s">
        <v>147</v>
      </c>
      <c r="C12" s="16" t="s">
        <v>127</v>
      </c>
      <c r="D12" s="19" t="s">
        <v>135</v>
      </c>
      <c r="E12" s="10" t="s">
        <v>105</v>
      </c>
      <c r="F12" s="17" t="s">
        <v>128</v>
      </c>
      <c r="G12" s="10" t="s">
        <v>148</v>
      </c>
      <c r="H12" s="10" t="s">
        <v>149</v>
      </c>
      <c r="I12" s="10" t="s">
        <v>149</v>
      </c>
      <c r="J12" s="10">
        <v>1.5</v>
      </c>
      <c r="K12" s="13">
        <v>650</v>
      </c>
      <c r="L12" s="10" t="s">
        <v>150</v>
      </c>
      <c r="M12" s="14">
        <f>MIN(Parametros!$B$8,MAX(Parametros!$B$7,ROUND((LOG10(K12)-Parametros!$B$5)*Parametros!$B$6+1,0)))</f>
        <v>2</v>
      </c>
      <c r="N12" s="14">
        <f t="shared" si="1"/>
        <v>2</v>
      </c>
      <c r="O12" s="14">
        <f>MIN(Parametros!$B$13,MAX(Parametros!$B$12,ROUND((M12+N12)/2*IF(C12="I",Parametros!$B$9,IF(C12="II",Parametros!$B$10,Parametros!$B$11)),0)))</f>
        <v>2</v>
      </c>
      <c r="P12" s="14">
        <f>IF(C12="I",Parametros!$B$14,IF(C12="II",Parametros!$B$15,Parametros!$B$16))</f>
        <v>3</v>
      </c>
      <c r="Q12" s="15" t="s">
        <v>140</v>
      </c>
      <c r="R12" s="1">
        <v>1</v>
      </c>
    </row>
    <row r="13" ht="15" customHeight="1">
      <c r="A13" s="9">
        <v>9</v>
      </c>
      <c r="B13" s="10" t="s">
        <v>151</v>
      </c>
      <c r="C13" s="16" t="s">
        <v>127</v>
      </c>
      <c r="D13" s="10"/>
      <c r="E13" s="10" t="s">
        <v>105</v>
      </c>
      <c r="F13" s="17" t="s">
        <v>128</v>
      </c>
      <c r="G13" s="10" t="s">
        <v>152</v>
      </c>
      <c r="H13" s="10" t="s">
        <v>153</v>
      </c>
      <c r="I13" s="10" t="s">
        <v>154</v>
      </c>
      <c r="J13" s="10">
        <v>6.5</v>
      </c>
      <c r="K13" s="13">
        <v>32000000</v>
      </c>
      <c r="L13" s="10" t="s">
        <v>155</v>
      </c>
      <c r="M13" s="14">
        <f>MIN(Parametros!$B$8,MAX(Parametros!$B$7,ROUND((LOG10(K13)-Parametros!$B$5)*Parametros!$B$6+1,0)))</f>
        <v>9</v>
      </c>
      <c r="N13" s="14">
        <f t="shared" si="1"/>
        <v>7</v>
      </c>
      <c r="O13" s="14">
        <f>MIN(Parametros!$B$13,MAX(Parametros!$B$12,ROUND((M13+N13)/2*IF(C13="I",Parametros!$B$9,IF(C13="II",Parametros!$B$10,Parametros!$B$11)),0)))</f>
        <v>8</v>
      </c>
      <c r="P13" s="14">
        <f>IF(C13="I",Parametros!$B$14,IF(C13="II",Parametros!$B$15,Parametros!$B$16))</f>
        <v>3</v>
      </c>
      <c r="Q13" s="15"/>
      <c r="R13" s="1">
        <v>0</v>
      </c>
    </row>
    <row r="14" ht="15" customHeight="1">
      <c r="A14" s="9">
        <v>10</v>
      </c>
      <c r="B14" s="10" t="s">
        <v>156</v>
      </c>
      <c r="C14" s="16" t="s">
        <v>127</v>
      </c>
      <c r="D14" s="10"/>
      <c r="E14" s="10" t="s">
        <v>105</v>
      </c>
      <c r="F14" s="17" t="s">
        <v>128</v>
      </c>
      <c r="G14" s="10" t="s">
        <v>157</v>
      </c>
      <c r="H14" s="10" t="s">
        <v>158</v>
      </c>
      <c r="I14" s="10" t="s">
        <v>159</v>
      </c>
      <c r="J14" s="10">
        <v>6.75</v>
      </c>
      <c r="K14" s="13">
        <v>12000</v>
      </c>
      <c r="L14" s="10" t="s">
        <v>160</v>
      </c>
      <c r="M14" s="14">
        <f>MIN(Parametros!$B$8,MAX(Parametros!$B$7,ROUND((LOG10(K14)-Parametros!$B$5)*Parametros!$B$6+1,0)))</f>
        <v>4</v>
      </c>
      <c r="N14" s="14">
        <f t="shared" si="1"/>
        <v>7</v>
      </c>
      <c r="O14" s="14">
        <f>MIN(Parametros!$B$13,MAX(Parametros!$B$12,ROUND((M14+N14)/2*IF(C14="I",Parametros!$B$9,IF(C14="II",Parametros!$B$10,Parametros!$B$11)),0)))</f>
        <v>6</v>
      </c>
      <c r="P14" s="14">
        <f>IF(C14="I",Parametros!$B$14,IF(C14="II",Parametros!$B$15,Parametros!$B$16))</f>
        <v>3</v>
      </c>
      <c r="Q14" s="15" t="s">
        <v>161</v>
      </c>
      <c r="R14" s="1">
        <v>0</v>
      </c>
    </row>
    <row r="15" ht="15" customHeight="1">
      <c r="A15" s="9">
        <v>11</v>
      </c>
      <c r="B15" s="10" t="s">
        <v>162</v>
      </c>
      <c r="C15" s="16" t="s">
        <v>127</v>
      </c>
      <c r="D15" s="19" t="s">
        <v>135</v>
      </c>
      <c r="E15" s="10" t="s">
        <v>105</v>
      </c>
      <c r="F15" s="17" t="s">
        <v>128</v>
      </c>
      <c r="G15" s="10" t="s">
        <v>163</v>
      </c>
      <c r="H15" s="10" t="s">
        <v>164</v>
      </c>
      <c r="I15" s="10" t="s">
        <v>165</v>
      </c>
      <c r="J15" s="10">
        <v>5.25</v>
      </c>
      <c r="K15" s="13">
        <v>45000</v>
      </c>
      <c r="L15" s="10" t="s">
        <v>166</v>
      </c>
      <c r="M15" s="14">
        <f>MIN(Parametros!$B$8,MAX(Parametros!$B$7,ROUND((LOG10(K15)-Parametros!$B$5)*Parametros!$B$6+1,0)))</f>
        <v>5</v>
      </c>
      <c r="N15" s="14">
        <f t="shared" si="1"/>
        <v>5</v>
      </c>
      <c r="O15" s="14">
        <f>MIN(Parametros!$B$13,MAX(Parametros!$B$12,ROUND((M15+N15)/2*IF(C15="I",Parametros!$B$9,IF(C15="II",Parametros!$B$10,Parametros!$B$11)),0)))</f>
        <v>5</v>
      </c>
      <c r="P15" s="14">
        <f>IF(C15="I",Parametros!$B$14,IF(C15="II",Parametros!$B$15,Parametros!$B$16))</f>
        <v>3</v>
      </c>
      <c r="Q15" s="15" t="s">
        <v>167</v>
      </c>
      <c r="R15" s="1">
        <v>0</v>
      </c>
    </row>
    <row r="16" ht="15" customHeight="1">
      <c r="A16" s="9">
        <v>12</v>
      </c>
      <c r="B16" s="10" t="s">
        <v>168</v>
      </c>
      <c r="C16" s="16" t="s">
        <v>127</v>
      </c>
      <c r="D16" s="10"/>
      <c r="E16" s="10" t="s">
        <v>105</v>
      </c>
      <c r="F16" s="17" t="s">
        <v>128</v>
      </c>
      <c r="G16" s="10" t="s">
        <v>169</v>
      </c>
      <c r="H16" s="10" t="s">
        <v>170</v>
      </c>
      <c r="I16" s="10" t="s">
        <v>171</v>
      </c>
      <c r="J16" s="10">
        <v>3</v>
      </c>
      <c r="K16" s="13">
        <v>16000</v>
      </c>
      <c r="L16" s="10" t="s">
        <v>172</v>
      </c>
      <c r="M16" s="14">
        <f>MIN(Parametros!$B$8,MAX(Parametros!$B$7,ROUND((LOG10(K16)-Parametros!$B$5)*Parametros!$B$6+1,0)))</f>
        <v>4</v>
      </c>
      <c r="N16" s="14">
        <f t="shared" si="1"/>
        <v>3</v>
      </c>
      <c r="O16" s="14">
        <f>MIN(Parametros!$B$13,MAX(Parametros!$B$12,ROUND((M16+N16)/2*IF(C16="I",Parametros!$B$9,IF(C16="II",Parametros!$B$10,Parametros!$B$11)),0)))</f>
        <v>4</v>
      </c>
      <c r="P16" s="14">
        <f>IF(C16="I",Parametros!$B$14,IF(C16="II",Parametros!$B$15,Parametros!$B$16))</f>
        <v>3</v>
      </c>
      <c r="Q16" s="15" t="s">
        <v>173</v>
      </c>
      <c r="R16" s="1">
        <v>0</v>
      </c>
    </row>
    <row r="17" ht="15" customHeight="1">
      <c r="A17" s="9">
        <v>13</v>
      </c>
      <c r="B17" s="10" t="s">
        <v>174</v>
      </c>
      <c r="C17" s="16" t="s">
        <v>127</v>
      </c>
      <c r="D17" s="10"/>
      <c r="E17" s="10" t="s">
        <v>105</v>
      </c>
      <c r="F17" s="17" t="s">
        <v>128</v>
      </c>
      <c r="G17" s="10" t="s">
        <v>175</v>
      </c>
      <c r="H17" s="10" t="s">
        <v>176</v>
      </c>
      <c r="I17" s="10" t="s">
        <v>177</v>
      </c>
      <c r="J17" s="10">
        <v>7</v>
      </c>
      <c r="K17" s="13">
        <v>2200</v>
      </c>
      <c r="L17" s="10" t="s">
        <v>178</v>
      </c>
      <c r="M17" s="14">
        <f>MIN(Parametros!$B$8,MAX(Parametros!$B$7,ROUND((LOG10(K17)-Parametros!$B$5)*Parametros!$B$6+1,0)))</f>
        <v>3</v>
      </c>
      <c r="N17" s="14">
        <f t="shared" si="1"/>
        <v>7</v>
      </c>
      <c r="O17" s="14">
        <f>MIN(Parametros!$B$13,MAX(Parametros!$B$12,ROUND((M17+N17)/2*IF(C17="I",Parametros!$B$9,IF(C17="II",Parametros!$B$10,Parametros!$B$11)),0)))</f>
        <v>5</v>
      </c>
      <c r="P17" s="14">
        <f>IF(C17="I",Parametros!$B$14,IF(C17="II",Parametros!$B$15,Parametros!$B$16))</f>
        <v>3</v>
      </c>
      <c r="Q17" s="15"/>
      <c r="R17" s="1">
        <v>0</v>
      </c>
    </row>
    <row r="18" ht="15" customHeight="1">
      <c r="A18" s="9">
        <v>14</v>
      </c>
      <c r="B18" s="10" t="s">
        <v>179</v>
      </c>
      <c r="C18" s="16" t="s">
        <v>127</v>
      </c>
      <c r="D18" s="10"/>
      <c r="E18" s="10" t="s">
        <v>105</v>
      </c>
      <c r="F18" s="17" t="s">
        <v>128</v>
      </c>
      <c r="G18" s="10" t="s">
        <v>180</v>
      </c>
      <c r="H18" s="10" t="s">
        <v>181</v>
      </c>
      <c r="I18" s="10" t="s">
        <v>182</v>
      </c>
      <c r="J18" s="10">
        <v>6.25</v>
      </c>
      <c r="K18" s="13">
        <v>200000</v>
      </c>
      <c r="L18" s="10" t="s">
        <v>183</v>
      </c>
      <c r="M18" s="14">
        <f>MIN(Parametros!$B$8,MAX(Parametros!$B$7,ROUND((LOG10(K18)-Parametros!$B$5)*Parametros!$B$6+1,0)))</f>
        <v>6</v>
      </c>
      <c r="N18" s="14">
        <f t="shared" si="1"/>
        <v>6</v>
      </c>
      <c r="O18" s="14">
        <f>MIN(Parametros!$B$13,MAX(Parametros!$B$12,ROUND((M18+N18)/2*IF(C18="I",Parametros!$B$9,IF(C18="II",Parametros!$B$10,Parametros!$B$11)),0)))</f>
        <v>6</v>
      </c>
      <c r="P18" s="14">
        <f>IF(C18="I",Parametros!$B$14,IF(C18="II",Parametros!$B$15,Parametros!$B$16))</f>
        <v>3</v>
      </c>
      <c r="Q18" s="15"/>
      <c r="R18" s="1">
        <v>0</v>
      </c>
    </row>
    <row r="19" ht="15" customHeight="1">
      <c r="A19" s="9">
        <v>15</v>
      </c>
      <c r="B19" s="10" t="s">
        <v>184</v>
      </c>
      <c r="C19" s="16" t="s">
        <v>127</v>
      </c>
      <c r="D19" s="10"/>
      <c r="E19" s="10" t="s">
        <v>105</v>
      </c>
      <c r="F19" s="17" t="s">
        <v>128</v>
      </c>
      <c r="G19" s="10" t="s">
        <v>185</v>
      </c>
      <c r="H19" s="10" t="s">
        <v>186</v>
      </c>
      <c r="I19" s="10" t="s">
        <v>187</v>
      </c>
      <c r="J19" s="10">
        <v>1.5</v>
      </c>
      <c r="K19" s="13">
        <v>80000</v>
      </c>
      <c r="L19" s="10" t="s">
        <v>188</v>
      </c>
      <c r="M19" s="14">
        <f>MIN(Parametros!$B$8,MAX(Parametros!$B$7,ROUND((LOG10(K19)-Parametros!$B$5)*Parametros!$B$6+1,0)))</f>
        <v>5</v>
      </c>
      <c r="N19" s="14">
        <f t="shared" si="1"/>
        <v>2</v>
      </c>
      <c r="O19" s="14">
        <f>MIN(Parametros!$B$13,MAX(Parametros!$B$12,ROUND((M19+N19)/2*IF(C19="I",Parametros!$B$9,IF(C19="II",Parametros!$B$10,Parametros!$B$11)),0)))</f>
        <v>4</v>
      </c>
      <c r="P19" s="14">
        <f>IF(C19="I",Parametros!$B$14,IF(C19="II",Parametros!$B$15,Parametros!$B$16))</f>
        <v>3</v>
      </c>
      <c r="Q19" s="15" t="s">
        <v>189</v>
      </c>
      <c r="R19" s="1">
        <v>0</v>
      </c>
    </row>
    <row r="20" ht="15" customHeight="1">
      <c r="A20" s="9">
        <v>16</v>
      </c>
      <c r="B20" s="10" t="s">
        <v>190</v>
      </c>
      <c r="C20" s="16" t="s">
        <v>127</v>
      </c>
      <c r="D20" s="10"/>
      <c r="E20" s="10" t="s">
        <v>105</v>
      </c>
      <c r="F20" s="17" t="s">
        <v>128</v>
      </c>
      <c r="G20" s="10" t="s">
        <v>191</v>
      </c>
      <c r="H20" s="10" t="s">
        <v>192</v>
      </c>
      <c r="I20" s="10" t="s">
        <v>193</v>
      </c>
      <c r="J20" s="10">
        <v>5.5</v>
      </c>
      <c r="K20" s="13">
        <v>8000</v>
      </c>
      <c r="L20" s="10" t="s">
        <v>194</v>
      </c>
      <c r="M20" s="14">
        <f>MIN(Parametros!$B$8,MAX(Parametros!$B$7,ROUND((LOG10(K20)-Parametros!$B$5)*Parametros!$B$6+1,0)))</f>
        <v>4</v>
      </c>
      <c r="N20" s="14">
        <f t="shared" si="1"/>
        <v>6</v>
      </c>
      <c r="O20" s="14">
        <f>MIN(Parametros!$B$13,MAX(Parametros!$B$12,ROUND((M20+N20)/2*IF(C20="I",Parametros!$B$9,IF(C20="II",Parametros!$B$10,Parametros!$B$11)),0)))</f>
        <v>5</v>
      </c>
      <c r="P20" s="14">
        <f>IF(C20="I",Parametros!$B$14,IF(C20="II",Parametros!$B$15,Parametros!$B$16))</f>
        <v>3</v>
      </c>
      <c r="Q20" s="15"/>
      <c r="R20" s="1">
        <v>0</v>
      </c>
    </row>
    <row r="21" ht="15" customHeight="1">
      <c r="A21" s="9">
        <v>17</v>
      </c>
      <c r="B21" s="10" t="s">
        <v>195</v>
      </c>
      <c r="C21" s="16" t="s">
        <v>127</v>
      </c>
      <c r="D21" s="10"/>
      <c r="E21" s="10" t="s">
        <v>105</v>
      </c>
      <c r="F21" s="17" t="s">
        <v>128</v>
      </c>
      <c r="G21" s="10" t="s">
        <v>196</v>
      </c>
      <c r="H21" s="10" t="s">
        <v>197</v>
      </c>
      <c r="I21" s="10" t="s">
        <v>198</v>
      </c>
      <c r="J21" s="10">
        <v>4.75</v>
      </c>
      <c r="K21" s="13">
        <v>35000</v>
      </c>
      <c r="L21" s="10" t="s">
        <v>199</v>
      </c>
      <c r="M21" s="14">
        <f>MIN(Parametros!$B$8,MAX(Parametros!$B$7,ROUND((LOG10(K21)-Parametros!$B$5)*Parametros!$B$6+1,0)))</f>
        <v>5</v>
      </c>
      <c r="N21" s="14">
        <f t="shared" si="1"/>
        <v>5</v>
      </c>
      <c r="O21" s="14">
        <f>MIN(Parametros!$B$13,MAX(Parametros!$B$12,ROUND((M21+N21)/2*IF(C21="I",Parametros!$B$9,IF(C21="II",Parametros!$B$10,Parametros!$B$11)),0)))</f>
        <v>5</v>
      </c>
      <c r="P21" s="14">
        <f>IF(C21="I",Parametros!$B$14,IF(C21="II",Parametros!$B$15,Parametros!$B$16))</f>
        <v>3</v>
      </c>
      <c r="Q21" s="15" t="s">
        <v>200</v>
      </c>
      <c r="R21" s="1">
        <v>0</v>
      </c>
    </row>
    <row r="22" ht="15" customHeight="1">
      <c r="A22" s="9">
        <v>18</v>
      </c>
      <c r="B22" s="10" t="s">
        <v>201</v>
      </c>
      <c r="C22" s="16" t="s">
        <v>127</v>
      </c>
      <c r="D22" s="19" t="s">
        <v>135</v>
      </c>
      <c r="E22" s="10" t="s">
        <v>105</v>
      </c>
      <c r="F22" s="17" t="s">
        <v>128</v>
      </c>
      <c r="G22" s="10" t="s">
        <v>202</v>
      </c>
      <c r="H22" s="10" t="s">
        <v>203</v>
      </c>
      <c r="I22" s="10" t="s">
        <v>204</v>
      </c>
      <c r="J22" s="10">
        <v>5.5</v>
      </c>
      <c r="K22" s="13">
        <v>176000</v>
      </c>
      <c r="L22" s="10" t="s">
        <v>205</v>
      </c>
      <c r="M22" s="14">
        <f>MIN(Parametros!$B$8,MAX(Parametros!$B$7,ROUND((LOG10(K22)-Parametros!$B$5)*Parametros!$B$6+1,0)))</f>
        <v>6</v>
      </c>
      <c r="N22" s="14">
        <f t="shared" si="1"/>
        <v>6</v>
      </c>
      <c r="O22" s="14">
        <f>MIN(Parametros!$B$13,MAX(Parametros!$B$12,ROUND((M22+N22)/2*IF(C22="I",Parametros!$B$9,IF(C22="II",Parametros!$B$10,Parametros!$B$11)),0)))</f>
        <v>6</v>
      </c>
      <c r="P22" s="14">
        <f>IF(C22="I",Parametros!$B$14,IF(C22="II",Parametros!$B$15,Parametros!$B$16))</f>
        <v>3</v>
      </c>
      <c r="Q22" s="15" t="s">
        <v>206</v>
      </c>
      <c r="R22" s="1">
        <v>0</v>
      </c>
    </row>
    <row r="23" ht="15" customHeight="1">
      <c r="A23" s="9">
        <v>19</v>
      </c>
      <c r="B23" s="10" t="s">
        <v>207</v>
      </c>
      <c r="C23" s="16" t="s">
        <v>127</v>
      </c>
      <c r="D23" s="10"/>
      <c r="E23" s="10" t="s">
        <v>105</v>
      </c>
      <c r="F23" s="17" t="s">
        <v>128</v>
      </c>
      <c r="G23" s="10" t="s">
        <v>208</v>
      </c>
      <c r="H23" s="10" t="s">
        <v>209</v>
      </c>
      <c r="I23" s="10" t="s">
        <v>210</v>
      </c>
      <c r="J23" s="10">
        <v>6</v>
      </c>
      <c r="K23" s="13">
        <v>9000</v>
      </c>
      <c r="L23" s="10" t="s">
        <v>211</v>
      </c>
      <c r="M23" s="14">
        <f>MIN(Parametros!$B$8,MAX(Parametros!$B$7,ROUND((LOG10(K23)-Parametros!$B$5)*Parametros!$B$6+1,0)))</f>
        <v>4</v>
      </c>
      <c r="N23" s="14">
        <f t="shared" si="1"/>
        <v>6</v>
      </c>
      <c r="O23" s="14">
        <f>MIN(Parametros!$B$13,MAX(Parametros!$B$12,ROUND((M23+N23)/2*IF(C23="I",Parametros!$B$9,IF(C23="II",Parametros!$B$10,Parametros!$B$11)),0)))</f>
        <v>5</v>
      </c>
      <c r="P23" s="14">
        <f>IF(C23="I",Parametros!$B$14,IF(C23="II",Parametros!$B$15,Parametros!$B$16))</f>
        <v>3</v>
      </c>
      <c r="Q23" s="15" t="s">
        <v>212</v>
      </c>
      <c r="R23" s="1">
        <v>0</v>
      </c>
    </row>
    <row r="24" ht="15" customHeight="1">
      <c r="A24" s="9">
        <v>20</v>
      </c>
      <c r="B24" s="10" t="s">
        <v>213</v>
      </c>
      <c r="C24" s="16" t="s">
        <v>127</v>
      </c>
      <c r="D24" s="10"/>
      <c r="E24" s="18" t="s">
        <v>214</v>
      </c>
      <c r="F24" s="17" t="s">
        <v>128</v>
      </c>
      <c r="G24" s="10" t="s">
        <v>215</v>
      </c>
      <c r="H24" s="10" t="s">
        <v>216</v>
      </c>
      <c r="I24" s="10" t="s">
        <v>217</v>
      </c>
      <c r="J24" s="10">
        <v>5.5</v>
      </c>
      <c r="K24" s="13">
        <v>2000</v>
      </c>
      <c r="L24" s="10" t="s">
        <v>218</v>
      </c>
      <c r="M24" s="14">
        <f>MIN(Parametros!$B$8,MAX(Parametros!$B$7,ROUND((LOG10(K24)-Parametros!$B$5)*Parametros!$B$6+1,0)))</f>
        <v>3</v>
      </c>
      <c r="N24" s="14">
        <f t="shared" si="1"/>
        <v>6</v>
      </c>
      <c r="O24" s="14">
        <f>MIN(Parametros!$B$13,MAX(Parametros!$B$12,ROUND((M24+N24)/2*IF(C24="I",Parametros!$B$9,IF(C24="II",Parametros!$B$10,Parametros!$B$11)),0)))</f>
        <v>5</v>
      </c>
      <c r="P24" s="14">
        <f>IF(C24="I",Parametros!$B$14,IF(C24="II",Parametros!$B$15,Parametros!$B$16))</f>
        <v>3</v>
      </c>
      <c r="Q24" s="18" t="s">
        <v>219</v>
      </c>
      <c r="R24" s="1">
        <v>0</v>
      </c>
    </row>
    <row r="25" ht="15" customHeight="1">
      <c r="A25" s="9">
        <v>21</v>
      </c>
      <c r="B25" s="10" t="s">
        <v>220</v>
      </c>
      <c r="C25" s="16" t="s">
        <v>127</v>
      </c>
      <c r="D25" s="10"/>
      <c r="E25" s="18" t="s">
        <v>214</v>
      </c>
      <c r="F25" s="17" t="s">
        <v>128</v>
      </c>
      <c r="G25" s="10" t="s">
        <v>221</v>
      </c>
      <c r="H25" s="10" t="s">
        <v>222</v>
      </c>
      <c r="I25" s="10" t="s">
        <v>223</v>
      </c>
      <c r="J25" s="10">
        <v>3.75</v>
      </c>
      <c r="K25" s="13">
        <v>2700</v>
      </c>
      <c r="L25" s="10" t="s">
        <v>224</v>
      </c>
      <c r="M25" s="14">
        <f>MIN(Parametros!$B$8,MAX(Parametros!$B$7,ROUND((LOG10(K25)-Parametros!$B$5)*Parametros!$B$6+1,0)))</f>
        <v>3</v>
      </c>
      <c r="N25" s="14">
        <f t="shared" si="1"/>
        <v>4</v>
      </c>
      <c r="O25" s="14">
        <f>MIN(Parametros!$B$13,MAX(Parametros!$B$12,ROUND((M25+N25)/2*IF(C25="I",Parametros!$B$9,IF(C25="II",Parametros!$B$10,Parametros!$B$11)),0)))</f>
        <v>4</v>
      </c>
      <c r="P25" s="14">
        <f>IF(C25="I",Parametros!$B$14,IF(C25="II",Parametros!$B$15,Parametros!$B$16))</f>
        <v>3</v>
      </c>
      <c r="Q25" s="18" t="s">
        <v>225</v>
      </c>
      <c r="R25" s="1">
        <v>0</v>
      </c>
    </row>
    <row r="26" ht="15" customHeight="1">
      <c r="A26" s="9">
        <v>22</v>
      </c>
      <c r="B26" s="10" t="s">
        <v>226</v>
      </c>
      <c r="C26" s="19" t="s">
        <v>135</v>
      </c>
      <c r="D26" s="10"/>
      <c r="E26" s="10" t="s">
        <v>105</v>
      </c>
      <c r="F26" s="20" t="s">
        <v>227</v>
      </c>
      <c r="G26" s="10" t="s">
        <v>228</v>
      </c>
      <c r="H26" s="10" t="s">
        <v>229</v>
      </c>
      <c r="I26" s="10" t="s">
        <v>230</v>
      </c>
      <c r="J26" s="10">
        <v>2.75</v>
      </c>
      <c r="K26" s="13">
        <v>2450</v>
      </c>
      <c r="L26" s="10" t="s">
        <v>231</v>
      </c>
      <c r="M26" s="14">
        <f>MIN(Parametros!$B$8,MAX(Parametros!$B$7,ROUND((LOG10(K26)-Parametros!$B$5)*Parametros!$B$6+1,0)))</f>
        <v>3</v>
      </c>
      <c r="N26" s="14">
        <f t="shared" si="1"/>
        <v>3</v>
      </c>
      <c r="O26" s="14">
        <f>MIN(Parametros!$B$13,MAX(Parametros!$B$12,ROUND((M26+N26)/2*IF(C26="I",Parametros!$B$9,IF(C26="II",Parametros!$B$10,Parametros!$B$11)),0)))</f>
        <v>2</v>
      </c>
      <c r="P26" s="14">
        <f>IF(C26="I",Parametros!$B$14,IF(C26="II",Parametros!$B$15,Parametros!$B$16))</f>
        <v>4</v>
      </c>
      <c r="Q26" s="15"/>
      <c r="R26" s="1">
        <v>0</v>
      </c>
    </row>
    <row r="27" ht="15" customHeight="1">
      <c r="A27" s="9">
        <v>23</v>
      </c>
      <c r="B27" s="10" t="s">
        <v>232</v>
      </c>
      <c r="C27" s="19" t="s">
        <v>135</v>
      </c>
      <c r="D27" s="10"/>
      <c r="E27" s="10" t="s">
        <v>105</v>
      </c>
      <c r="F27" s="20" t="s">
        <v>227</v>
      </c>
      <c r="G27" s="10" t="s">
        <v>233</v>
      </c>
      <c r="H27" s="10" t="s">
        <v>234</v>
      </c>
      <c r="I27" s="10" t="s">
        <v>235</v>
      </c>
      <c r="J27" s="10">
        <v>6</v>
      </c>
      <c r="K27" s="13">
        <v>105</v>
      </c>
      <c r="L27" s="10" t="s">
        <v>236</v>
      </c>
      <c r="M27" s="14">
        <f>MIN(Parametros!$B$8,MAX(Parametros!$B$7,ROUND((LOG10(K27)-Parametros!$B$5)*Parametros!$B$6+1,0)))</f>
        <v>1</v>
      </c>
      <c r="N27" s="14">
        <f t="shared" si="1"/>
        <v>6</v>
      </c>
      <c r="O27" s="14">
        <f>MIN(Parametros!$B$13,MAX(Parametros!$B$12,ROUND((M27+N27)/2*IF(C27="I",Parametros!$B$9,IF(C27="II",Parametros!$B$10,Parametros!$B$11)),0)))</f>
        <v>3</v>
      </c>
      <c r="P27" s="14">
        <f>IF(C27="I",Parametros!$B$14,IF(C27="II",Parametros!$B$15,Parametros!$B$16))</f>
        <v>4</v>
      </c>
      <c r="Q27" s="15" t="s">
        <v>237</v>
      </c>
      <c r="R27" s="1">
        <v>1</v>
      </c>
    </row>
    <row r="28" ht="15" customHeight="1">
      <c r="A28" s="9">
        <v>24</v>
      </c>
      <c r="B28" s="10" t="s">
        <v>238</v>
      </c>
      <c r="C28" s="19" t="s">
        <v>135</v>
      </c>
      <c r="D28" s="10"/>
      <c r="E28" s="10" t="s">
        <v>105</v>
      </c>
      <c r="F28" s="20" t="s">
        <v>227</v>
      </c>
      <c r="G28" s="10" t="s">
        <v>239</v>
      </c>
      <c r="H28" s="10" t="s">
        <v>240</v>
      </c>
      <c r="I28" s="10" t="s">
        <v>240</v>
      </c>
      <c r="J28" s="10">
        <v>2.75</v>
      </c>
      <c r="K28" s="13">
        <v>70000000</v>
      </c>
      <c r="L28" s="10" t="s">
        <v>241</v>
      </c>
      <c r="M28" s="14">
        <f>MIN(Parametros!$B$8,MAX(Parametros!$B$7,ROUND((LOG10(K28)-Parametros!$B$5)*Parametros!$B$6+1,0)))</f>
        <v>9</v>
      </c>
      <c r="N28" s="14">
        <f t="shared" si="1"/>
        <v>3</v>
      </c>
      <c r="O28" s="14">
        <f>MIN(Parametros!$B$13,MAX(Parametros!$B$12,ROUND((M28+N28)/2*IF(C28="I",Parametros!$B$9,IF(C28="II",Parametros!$B$10,Parametros!$B$11)),0)))</f>
        <v>5</v>
      </c>
      <c r="P28" s="14">
        <f>IF(C28="I",Parametros!$B$14,IF(C28="II",Parametros!$B$15,Parametros!$B$16))</f>
        <v>4</v>
      </c>
      <c r="Q28" s="15"/>
      <c r="R28" s="1">
        <v>0</v>
      </c>
    </row>
    <row r="29" ht="15" customHeight="1">
      <c r="A29" s="9">
        <v>25</v>
      </c>
      <c r="B29" s="10" t="s">
        <v>242</v>
      </c>
      <c r="C29" s="19" t="s">
        <v>135</v>
      </c>
      <c r="D29" s="10"/>
      <c r="E29" s="10" t="s">
        <v>105</v>
      </c>
      <c r="F29" s="20" t="s">
        <v>227</v>
      </c>
      <c r="G29" s="10" t="s">
        <v>243</v>
      </c>
      <c r="H29" s="10" t="s">
        <v>244</v>
      </c>
      <c r="I29" s="10" t="s">
        <v>245</v>
      </c>
      <c r="J29" s="10">
        <v>6.25</v>
      </c>
      <c r="K29" s="13">
        <v>320</v>
      </c>
      <c r="L29" s="10" t="s">
        <v>246</v>
      </c>
      <c r="M29" s="14">
        <f>MIN(Parametros!$B$8,MAX(Parametros!$B$7,ROUND((LOG10(K29)-Parametros!$B$5)*Parametros!$B$6+1,0)))</f>
        <v>2</v>
      </c>
      <c r="N29" s="14">
        <f t="shared" si="1"/>
        <v>6</v>
      </c>
      <c r="O29" s="14">
        <f>MIN(Parametros!$B$13,MAX(Parametros!$B$12,ROUND((M29+N29)/2*IF(C29="I",Parametros!$B$9,IF(C29="II",Parametros!$B$10,Parametros!$B$11)),0)))</f>
        <v>3</v>
      </c>
      <c r="P29" s="14">
        <f>IF(C29="I",Parametros!$B$14,IF(C29="II",Parametros!$B$15,Parametros!$B$16))</f>
        <v>4</v>
      </c>
      <c r="Q29" s="15"/>
      <c r="R29" s="1">
        <v>0</v>
      </c>
    </row>
    <row r="30" ht="15" customHeight="1">
      <c r="B30" s="7" t="s">
        <v>247</v>
      </c>
      <c r="M30" s="7">
        <f>ROUND(AVERAGE(M5:M29),2)</f>
        <v>4.0800000000000001</v>
      </c>
      <c r="N30" s="7">
        <f>ROUND(AVERAGE(N5:N29),2)</f>
        <v>4.5599999999999996</v>
      </c>
      <c r="O30" s="7">
        <f>ROUND(AVERAGE(O5:O29),2)</f>
        <v>4.3200000000000003</v>
      </c>
      <c r="P30" s="7">
        <f>SUM(P5:P29)</f>
        <v>75</v>
      </c>
      <c r="R30" s="1">
        <v>0</v>
      </c>
    </row>
    <row r="31" ht="15" customHeight="1">
      <c r="B31" s="3" t="s">
        <v>248</v>
      </c>
      <c r="R31" s="1">
        <v>0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21.421875"/>
  </cols>
  <sheetData>
    <row r="1">
      <c r="A1" t="s">
        <v>96</v>
      </c>
      <c r="B1" t="s">
        <v>97</v>
      </c>
      <c r="C1" t="s">
        <v>98</v>
      </c>
      <c r="D1" t="s">
        <v>99</v>
      </c>
    </row>
    <row r="2">
      <c r="A2" t="s">
        <v>109</v>
      </c>
      <c r="B2">
        <v>1</v>
      </c>
      <c r="C2">
        <v>2</v>
      </c>
      <c r="D2">
        <v>2</v>
      </c>
    </row>
    <row r="3">
      <c r="A3" t="s">
        <v>114</v>
      </c>
      <c r="B3">
        <v>2</v>
      </c>
      <c r="C3">
        <v>5</v>
      </c>
      <c r="D3">
        <v>4</v>
      </c>
    </row>
    <row r="4">
      <c r="A4" t="s">
        <v>119</v>
      </c>
      <c r="B4">
        <v>2</v>
      </c>
      <c r="C4">
        <v>2</v>
      </c>
      <c r="D4">
        <v>2</v>
      </c>
    </row>
    <row r="5">
      <c r="A5" t="s">
        <v>124</v>
      </c>
      <c r="B5">
        <v>5</v>
      </c>
      <c r="C5">
        <v>1</v>
      </c>
      <c r="D5">
        <v>3</v>
      </c>
    </row>
    <row r="6">
      <c r="A6" t="s">
        <v>132</v>
      </c>
      <c r="B6">
        <v>5</v>
      </c>
      <c r="C6">
        <v>3</v>
      </c>
      <c r="D6">
        <v>4</v>
      </c>
    </row>
    <row r="7">
      <c r="A7" t="s">
        <v>139</v>
      </c>
      <c r="B7">
        <v>4</v>
      </c>
      <c r="C7">
        <v>4</v>
      </c>
      <c r="D7">
        <v>4</v>
      </c>
    </row>
    <row r="8">
      <c r="A8" t="s">
        <v>145</v>
      </c>
      <c r="B8">
        <v>5</v>
      </c>
      <c r="C8">
        <v>7</v>
      </c>
      <c r="D8">
        <v>6</v>
      </c>
    </row>
    <row r="9">
      <c r="A9" t="s">
        <v>150</v>
      </c>
      <c r="B9">
        <v>2</v>
      </c>
      <c r="C9">
        <v>2</v>
      </c>
      <c r="D9">
        <v>2</v>
      </c>
    </row>
    <row r="10">
      <c r="A10" t="s">
        <v>155</v>
      </c>
      <c r="B10">
        <v>9</v>
      </c>
      <c r="C10">
        <v>7</v>
      </c>
      <c r="D10">
        <v>8</v>
      </c>
    </row>
    <row r="11">
      <c r="A11" t="s">
        <v>160</v>
      </c>
      <c r="B11">
        <v>4</v>
      </c>
      <c r="C11">
        <v>7</v>
      </c>
      <c r="D11">
        <v>6</v>
      </c>
    </row>
    <row r="12">
      <c r="A12" t="s">
        <v>166</v>
      </c>
      <c r="B12">
        <v>5</v>
      </c>
      <c r="C12">
        <v>5</v>
      </c>
      <c r="D12">
        <v>5</v>
      </c>
    </row>
    <row r="13">
      <c r="A13" t="s">
        <v>172</v>
      </c>
      <c r="B13">
        <v>4</v>
      </c>
      <c r="C13">
        <v>3</v>
      </c>
      <c r="D13">
        <v>4</v>
      </c>
    </row>
    <row r="14">
      <c r="A14" t="s">
        <v>178</v>
      </c>
      <c r="B14">
        <v>3</v>
      </c>
      <c r="C14">
        <v>7</v>
      </c>
      <c r="D14">
        <v>5</v>
      </c>
    </row>
    <row r="15">
      <c r="A15" t="s">
        <v>183</v>
      </c>
      <c r="B15">
        <v>6</v>
      </c>
      <c r="C15">
        <v>6</v>
      </c>
      <c r="D15">
        <v>6</v>
      </c>
    </row>
    <row r="16">
      <c r="A16" t="s">
        <v>188</v>
      </c>
      <c r="B16">
        <v>5</v>
      </c>
      <c r="C16">
        <v>2</v>
      </c>
      <c r="D16">
        <v>4</v>
      </c>
    </row>
    <row r="17">
      <c r="A17" t="s">
        <v>194</v>
      </c>
      <c r="B17">
        <v>4</v>
      </c>
      <c r="C17">
        <v>6</v>
      </c>
      <c r="D17">
        <v>5</v>
      </c>
    </row>
    <row r="18">
      <c r="A18" t="s">
        <v>199</v>
      </c>
      <c r="B18">
        <v>5</v>
      </c>
      <c r="C18">
        <v>5</v>
      </c>
      <c r="D18">
        <v>5</v>
      </c>
    </row>
    <row r="19">
      <c r="A19" t="s">
        <v>205</v>
      </c>
      <c r="B19">
        <v>6</v>
      </c>
      <c r="C19">
        <v>6</v>
      </c>
      <c r="D19">
        <v>6</v>
      </c>
    </row>
    <row r="20">
      <c r="A20" t="s">
        <v>211</v>
      </c>
      <c r="B20">
        <v>4</v>
      </c>
      <c r="C20">
        <v>6</v>
      </c>
      <c r="D20">
        <v>5</v>
      </c>
    </row>
    <row r="21">
      <c r="A21" t="s">
        <v>218</v>
      </c>
      <c r="B21">
        <v>3</v>
      </c>
      <c r="C21">
        <v>6</v>
      </c>
      <c r="D21">
        <v>5</v>
      </c>
    </row>
    <row r="22">
      <c r="A22" t="s">
        <v>224</v>
      </c>
      <c r="B22">
        <v>3</v>
      </c>
      <c r="C22">
        <v>4</v>
      </c>
      <c r="D22">
        <v>4</v>
      </c>
    </row>
    <row r="23">
      <c r="A23" t="s">
        <v>231</v>
      </c>
      <c r="B23">
        <v>3</v>
      </c>
      <c r="C23">
        <v>3</v>
      </c>
      <c r="D23">
        <v>2</v>
      </c>
    </row>
    <row r="24">
      <c r="A24" t="s">
        <v>236</v>
      </c>
      <c r="B24">
        <v>1</v>
      </c>
      <c r="C24">
        <v>6</v>
      </c>
      <c r="D24">
        <v>3</v>
      </c>
    </row>
    <row r="25">
      <c r="A25" t="s">
        <v>241</v>
      </c>
      <c r="B25">
        <v>9</v>
      </c>
      <c r="C25">
        <v>3</v>
      </c>
      <c r="D25">
        <v>5</v>
      </c>
    </row>
    <row r="26">
      <c r="A26" t="s">
        <v>246</v>
      </c>
      <c r="B26">
        <v>2</v>
      </c>
      <c r="C26">
        <v>6</v>
      </c>
      <c r="D26">
        <v>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1" width="26"/>
    <col customWidth="1" min="2" max="4" style="1" width="16"/>
  </cols>
  <sheetData>
    <row r="1" ht="15.75" customHeight="1">
      <c r="A1" s="2" t="s">
        <v>249</v>
      </c>
    </row>
    <row r="2" ht="15" customHeight="1">
      <c r="A2" s="3" t="s">
        <v>250</v>
      </c>
    </row>
    <row r="4" ht="15" customHeight="1">
      <c r="A4" s="4" t="s">
        <v>251</v>
      </c>
      <c r="B4" s="4" t="s">
        <v>252</v>
      </c>
      <c r="C4" s="4" t="s">
        <v>253</v>
      </c>
      <c r="D4" s="4" t="s">
        <v>254</v>
      </c>
    </row>
    <row r="5" ht="15" customHeight="1">
      <c r="A5" s="5">
        <v>1</v>
      </c>
      <c r="B5" s="5">
        <f>COUNTIF(Cartas!$O$5:$O$29,A5)</f>
        <v>0</v>
      </c>
      <c r="C5" s="5">
        <f>SUMIF(Cartas!$O$5:$O$29,A5,Cartas!$O$5:$O$29)</f>
        <v>0</v>
      </c>
      <c r="D5" s="21">
        <v>3</v>
      </c>
    </row>
    <row r="6" ht="15" customHeight="1">
      <c r="A6" s="5">
        <v>2</v>
      </c>
      <c r="B6" s="5">
        <f>COUNTIF(Cartas!$O$5:$O$29,A6)</f>
        <v>4</v>
      </c>
      <c r="C6" s="5">
        <f>SUMIF(Cartas!$O$5:$O$29,A6,Cartas!$O$5:$O$29)</f>
        <v>8</v>
      </c>
      <c r="D6" s="21">
        <v>4</v>
      </c>
    </row>
    <row r="7" ht="15" customHeight="1">
      <c r="A7" s="5">
        <v>3</v>
      </c>
      <c r="B7" s="5">
        <f>COUNTIF(Cartas!$O$5:$O$29,A7)</f>
        <v>3</v>
      </c>
      <c r="C7" s="5">
        <f>SUMIF(Cartas!$O$5:$O$29,A7,Cartas!$O$5:$O$29)</f>
        <v>9</v>
      </c>
      <c r="D7" s="21">
        <v>4</v>
      </c>
    </row>
    <row r="8" ht="15" customHeight="1">
      <c r="A8" s="5">
        <v>4</v>
      </c>
      <c r="B8" s="5">
        <f>COUNTIF(Cartas!$O$5:$O$29,A8)</f>
        <v>6</v>
      </c>
      <c r="C8" s="5">
        <f>SUMIF(Cartas!$O$5:$O$29,A8,Cartas!$O$5:$O$29)</f>
        <v>24</v>
      </c>
      <c r="D8" s="21">
        <v>4</v>
      </c>
    </row>
    <row r="9" ht="15" customHeight="1">
      <c r="A9" s="5">
        <v>5</v>
      </c>
      <c r="B9" s="5">
        <f>COUNTIF(Cartas!$O$5:$O$29,A9)</f>
        <v>7</v>
      </c>
      <c r="C9" s="5">
        <f>SUMIF(Cartas!$O$5:$O$29,A9,Cartas!$O$5:$O$29)</f>
        <v>35</v>
      </c>
      <c r="D9" s="21">
        <v>3</v>
      </c>
    </row>
    <row r="10" ht="15" customHeight="1">
      <c r="A10" s="5">
        <v>6</v>
      </c>
      <c r="B10" s="5">
        <f>COUNTIF(Cartas!$O$5:$O$29,A10)</f>
        <v>4</v>
      </c>
      <c r="C10" s="5">
        <f>SUMIF(Cartas!$O$5:$O$29,A10,Cartas!$O$5:$O$29)</f>
        <v>24</v>
      </c>
      <c r="D10" s="21">
        <v>3</v>
      </c>
    </row>
    <row r="11" ht="15" customHeight="1">
      <c r="A11" s="5">
        <v>7</v>
      </c>
      <c r="B11" s="5">
        <f>COUNTIF(Cartas!$O$5:$O$29,A11)</f>
        <v>0</v>
      </c>
      <c r="C11" s="5">
        <f>SUMIF(Cartas!$O$5:$O$29,A11,Cartas!$O$5:$O$29)</f>
        <v>0</v>
      </c>
      <c r="D11" s="21">
        <v>2</v>
      </c>
    </row>
    <row r="12" ht="15" customHeight="1">
      <c r="A12" s="5">
        <v>8</v>
      </c>
      <c r="B12" s="5">
        <f>COUNTIF(Cartas!$O$5:$O$29,A12)</f>
        <v>1</v>
      </c>
      <c r="C12" s="5">
        <f>SUMIF(Cartas!$O$5:$O$29,A12,Cartas!$O$5:$O$29)</f>
        <v>8</v>
      </c>
      <c r="D12" s="21">
        <v>1</v>
      </c>
    </row>
    <row r="13" ht="15" customHeight="1">
      <c r="A13" s="5">
        <v>9</v>
      </c>
      <c r="B13" s="5">
        <f>COUNTIF(Cartas!$O$5:$O$29,A13)</f>
        <v>0</v>
      </c>
      <c r="C13" s="5">
        <f>SUMIF(Cartas!$O$5:$O$29,A13,Cartas!$O$5:$O$29)</f>
        <v>0</v>
      </c>
      <c r="D13" s="21">
        <v>0</v>
      </c>
    </row>
    <row r="14" ht="15" customHeight="1">
      <c r="A14" s="7" t="s">
        <v>255</v>
      </c>
      <c r="B14" s="7">
        <f>SUM(B5:B13)</f>
        <v>25</v>
      </c>
      <c r="C14" s="7">
        <f>SUM(C5:C13)</f>
        <v>108</v>
      </c>
    </row>
    <row r="16" ht="15" customHeight="1">
      <c r="A16" s="7" t="s">
        <v>256</v>
      </c>
    </row>
    <row r="17" ht="15" customHeight="1">
      <c r="A17" s="5" t="s">
        <v>257</v>
      </c>
      <c r="B17" s="5">
        <f>COUNTIF(Cartas!$C$5:$C$29,"I")</f>
        <v>4</v>
      </c>
      <c r="C17" s="5">
        <f>SUMIF(Cartas!$C$5:$C$29,"I",Cartas!$P$5:$P$29)</f>
        <v>8</v>
      </c>
    </row>
    <row r="18" ht="15" customHeight="1">
      <c r="A18" s="5" t="s">
        <v>258</v>
      </c>
      <c r="B18" s="5">
        <f>COUNTIF(Cartas!$C$5:$C$29,"II")</f>
        <v>17</v>
      </c>
      <c r="C18" s="5">
        <f>SUMIF(Cartas!$C$5:$C$29,"II",Cartas!$P$5:$P$29)</f>
        <v>51</v>
      </c>
    </row>
    <row r="19" ht="15" customHeight="1">
      <c r="A19" s="5" t="s">
        <v>259</v>
      </c>
      <c r="B19" s="5">
        <f>COUNTIF(Cartas!$C$5:$C$29,"III")</f>
        <v>4</v>
      </c>
      <c r="C19" s="5">
        <f>SUMIF(Cartas!$C$5:$C$29,"III",Cartas!$P$5:$P$29)</f>
        <v>16</v>
      </c>
    </row>
    <row r="21" ht="15" customHeight="1">
      <c r="A21" s="7" t="s">
        <v>260</v>
      </c>
      <c r="B21" s="5">
        <f>COUNTIF(Cartas!$D$5:$D$29,"III")</f>
        <v>4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1" width="4"/>
    <col customWidth="1" min="2" max="2" style="1" width="26"/>
    <col customWidth="1" min="3" max="3" style="1" width="42"/>
    <col customWidth="1" min="4" max="4" style="1" width="72"/>
  </cols>
  <sheetData>
    <row r="1" ht="15.75" customHeight="1">
      <c r="A1" s="2" t="s">
        <v>261</v>
      </c>
    </row>
    <row r="2" ht="15" customHeight="1">
      <c r="A2" s="3" t="s">
        <v>262</v>
      </c>
    </row>
    <row r="4" ht="15" customHeight="1">
      <c r="A4" s="8" t="s">
        <v>85</v>
      </c>
      <c r="B4" s="8" t="s">
        <v>263</v>
      </c>
      <c r="C4" s="8" t="s">
        <v>264</v>
      </c>
      <c r="D4" s="8" t="s">
        <v>265</v>
      </c>
    </row>
    <row r="5" ht="15" customHeight="1">
      <c r="A5" s="9">
        <v>1</v>
      </c>
      <c r="B5" s="10" t="s">
        <v>266</v>
      </c>
      <c r="C5" s="10" t="s">
        <v>267</v>
      </c>
      <c r="D5" s="10" t="s">
        <v>268</v>
      </c>
    </row>
    <row r="6" ht="15" customHeight="1">
      <c r="A6" s="9">
        <v>2</v>
      </c>
      <c r="B6" s="10" t="s">
        <v>269</v>
      </c>
      <c r="C6" s="10" t="s">
        <v>270</v>
      </c>
      <c r="D6" s="10" t="s">
        <v>271</v>
      </c>
    </row>
    <row r="7" ht="15" customHeight="1">
      <c r="A7" s="9">
        <v>3</v>
      </c>
      <c r="B7" s="10" t="s">
        <v>272</v>
      </c>
      <c r="C7" s="10" t="s">
        <v>273</v>
      </c>
      <c r="D7" s="10" t="s">
        <v>274</v>
      </c>
    </row>
    <row r="8" ht="15" customHeight="1">
      <c r="A8" s="9">
        <v>4</v>
      </c>
      <c r="B8" s="10" t="s">
        <v>275</v>
      </c>
      <c r="C8" s="10" t="s">
        <v>276</v>
      </c>
      <c r="D8" s="10" t="s">
        <v>277</v>
      </c>
    </row>
    <row r="9" ht="15" customHeight="1">
      <c r="A9" s="9">
        <v>5</v>
      </c>
      <c r="B9" s="10" t="s">
        <v>278</v>
      </c>
      <c r="C9" s="10" t="s">
        <v>279</v>
      </c>
      <c r="D9" s="10" t="s">
        <v>280</v>
      </c>
    </row>
    <row r="10" ht="15" customHeight="1">
      <c r="A10" s="9">
        <v>6</v>
      </c>
      <c r="B10" s="10" t="s">
        <v>281</v>
      </c>
      <c r="C10" s="10" t="s">
        <v>282</v>
      </c>
      <c r="D10" s="10" t="s">
        <v>283</v>
      </c>
    </row>
    <row r="11" ht="15" customHeight="1">
      <c r="A11" s="9">
        <v>7</v>
      </c>
      <c r="B11" s="10" t="s">
        <v>284</v>
      </c>
      <c r="C11" s="10" t="s">
        <v>285</v>
      </c>
      <c r="D11" s="10" t="s">
        <v>286</v>
      </c>
    </row>
    <row r="12" ht="15" customHeight="1">
      <c r="A12" s="9">
        <v>8</v>
      </c>
      <c r="B12" s="10" t="s">
        <v>287</v>
      </c>
      <c r="C12" s="10" t="s">
        <v>288</v>
      </c>
      <c r="D12" s="10" t="s">
        <v>289</v>
      </c>
    </row>
    <row r="13" ht="15" customHeight="1">
      <c r="A13" s="9">
        <v>9</v>
      </c>
      <c r="B13" s="10" t="s">
        <v>290</v>
      </c>
      <c r="C13" s="10" t="s">
        <v>291</v>
      </c>
      <c r="D13" s="10" t="s">
        <v>292</v>
      </c>
    </row>
    <row r="14" ht="15" customHeight="1">
      <c r="A14" s="9">
        <v>10</v>
      </c>
      <c r="B14" s="10" t="s">
        <v>293</v>
      </c>
      <c r="C14" s="10" t="s">
        <v>294</v>
      </c>
      <c r="D14" s="10" t="s">
        <v>295</v>
      </c>
    </row>
    <row r="15" ht="15" customHeight="1">
      <c r="A15" s="9">
        <v>11</v>
      </c>
      <c r="B15" s="10" t="s">
        <v>296</v>
      </c>
      <c r="C15" s="10" t="s">
        <v>297</v>
      </c>
      <c r="D15" s="10" t="s">
        <v>298</v>
      </c>
    </row>
    <row r="16" ht="15" customHeight="1">
      <c r="A16" s="9">
        <v>12</v>
      </c>
      <c r="B16" s="10" t="s">
        <v>299</v>
      </c>
      <c r="C16" s="10" t="s">
        <v>300</v>
      </c>
      <c r="D16" s="10" t="s">
        <v>301</v>
      </c>
    </row>
    <row r="17" ht="15" customHeight="1">
      <c r="A17" s="9">
        <v>13</v>
      </c>
      <c r="B17" s="10" t="s">
        <v>302</v>
      </c>
      <c r="C17" s="10" t="s">
        <v>303</v>
      </c>
      <c r="D17" s="10" t="s">
        <v>304</v>
      </c>
    </row>
    <row r="18" ht="15" customHeight="1">
      <c r="A18" s="9">
        <v>14</v>
      </c>
      <c r="B18" s="10" t="s">
        <v>178</v>
      </c>
      <c r="C18" s="10" t="s">
        <v>305</v>
      </c>
      <c r="D18" s="10" t="s">
        <v>306</v>
      </c>
    </row>
    <row r="19" ht="15" customHeight="1">
      <c r="A19" s="9">
        <v>15</v>
      </c>
      <c r="B19" s="10" t="s">
        <v>307</v>
      </c>
      <c r="C19" s="10" t="s">
        <v>308</v>
      </c>
      <c r="D19" s="10" t="s">
        <v>309</v>
      </c>
    </row>
    <row r="20" ht="15" customHeight="1">
      <c r="A20" s="9">
        <v>16</v>
      </c>
      <c r="B20" s="10" t="s">
        <v>310</v>
      </c>
      <c r="C20" s="10" t="s">
        <v>311</v>
      </c>
      <c r="D20" s="10" t="s">
        <v>312</v>
      </c>
    </row>
    <row r="21" ht="15" customHeight="1">
      <c r="A21" s="9">
        <v>17</v>
      </c>
      <c r="B21" s="10" t="s">
        <v>313</v>
      </c>
      <c r="C21" s="10" t="s">
        <v>314</v>
      </c>
      <c r="D21" s="10" t="s">
        <v>315</v>
      </c>
    </row>
    <row r="22" ht="15" customHeight="1">
      <c r="A22" s="9">
        <v>18</v>
      </c>
      <c r="B22" s="10" t="s">
        <v>316</v>
      </c>
      <c r="C22" s="10" t="s">
        <v>317</v>
      </c>
      <c r="D22" s="10" t="s">
        <v>318</v>
      </c>
    </row>
    <row r="23" ht="15" customHeight="1">
      <c r="A23" s="9">
        <v>19</v>
      </c>
      <c r="B23" s="10" t="s">
        <v>319</v>
      </c>
      <c r="C23" s="10" t="s">
        <v>320</v>
      </c>
      <c r="D23" s="10" t="s">
        <v>321</v>
      </c>
    </row>
    <row r="24" ht="15" customHeight="1">
      <c r="A24" s="9">
        <v>20</v>
      </c>
      <c r="B24" s="10" t="s">
        <v>322</v>
      </c>
      <c r="C24" s="10" t="s">
        <v>323</v>
      </c>
      <c r="D24" s="10" t="s">
        <v>324</v>
      </c>
    </row>
    <row r="25" ht="15" customHeight="1">
      <c r="A25" s="9">
        <v>21</v>
      </c>
      <c r="B25" s="10" t="s">
        <v>325</v>
      </c>
      <c r="C25" s="10" t="s">
        <v>326</v>
      </c>
      <c r="D25" s="10" t="s">
        <v>327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1" width="18"/>
    <col customWidth="1" min="2" max="2" style="1" width="105"/>
  </cols>
  <sheetData>
    <row r="1" ht="15.75" customHeight="1">
      <c r="A1" s="2" t="s">
        <v>328</v>
      </c>
    </row>
    <row r="3" ht="15" customHeight="1">
      <c r="A3" s="7" t="s">
        <v>329</v>
      </c>
      <c r="B3" s="5" t="s">
        <v>330</v>
      </c>
    </row>
    <row r="4" ht="15" customHeight="1">
      <c r="A4" s="7" t="s">
        <v>331</v>
      </c>
      <c r="B4" s="5" t="s">
        <v>332</v>
      </c>
    </row>
    <row r="5" ht="15" customHeight="1">
      <c r="A5" s="7" t="s">
        <v>333</v>
      </c>
      <c r="B5" s="5" t="s">
        <v>334</v>
      </c>
    </row>
    <row r="6" ht="15" customHeight="1">
      <c r="A6" s="7" t="s">
        <v>27</v>
      </c>
      <c r="B6" s="5" t="s">
        <v>335</v>
      </c>
    </row>
    <row r="7" ht="15" customHeight="1">
      <c r="A7" s="7" t="s">
        <v>336</v>
      </c>
      <c r="B7" s="5" t="s">
        <v>337</v>
      </c>
    </row>
    <row r="8" ht="15" customHeight="1">
      <c r="A8" s="7" t="s">
        <v>338</v>
      </c>
      <c r="B8" s="5" t="s">
        <v>339</v>
      </c>
    </row>
    <row r="9" ht="15" customHeight="1">
      <c r="A9" s="7" t="s">
        <v>340</v>
      </c>
      <c r="B9" s="5" t="s">
        <v>341</v>
      </c>
    </row>
    <row r="10" ht="15" customHeight="1">
      <c r="A10" s="7" t="s">
        <v>342</v>
      </c>
      <c r="B10" s="5" t="s">
        <v>343</v>
      </c>
    </row>
    <row r="11" ht="15" customHeight="1">
      <c r="A11" s="7" t="s">
        <v>344</v>
      </c>
      <c r="B11" s="5" t="s">
        <v>345</v>
      </c>
    </row>
    <row r="12" ht="15" customHeight="1">
      <c r="A12" s="7"/>
      <c r="B12" s="5" t="s">
        <v>346</v>
      </c>
    </row>
    <row r="13" ht="15" customHeight="1">
      <c r="A13" s="7" t="s">
        <v>347</v>
      </c>
      <c r="B13" s="5" t="s">
        <v>348</v>
      </c>
    </row>
    <row r="14" ht="15" customHeight="1">
      <c r="A14" s="7"/>
      <c r="B14" s="5"/>
    </row>
    <row r="15" ht="15" customHeight="1">
      <c r="A15" s="7" t="s">
        <v>349</v>
      </c>
      <c r="B15" s="5" t="s">
        <v>350</v>
      </c>
    </row>
    <row r="16" ht="15" customHeight="1">
      <c r="A16" s="7"/>
      <c r="B16" s="5" t="s">
        <v>351</v>
      </c>
    </row>
    <row r="17" ht="15" customHeight="1">
      <c r="A17" s="7"/>
      <c r="B17" s="5" t="s">
        <v>352</v>
      </c>
    </row>
    <row r="18" ht="15" customHeight="1">
      <c r="A18" s="7"/>
      <c r="B18" s="5" t="s">
        <v>353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1" width="4"/>
    <col customWidth="1" min="2" max="2" style="1" width="40"/>
    <col customWidth="1" min="3" max="3" style="1" width="95"/>
  </cols>
  <sheetData>
    <row r="1" ht="15.75" customHeight="1">
      <c r="A1" s="2" t="s">
        <v>354</v>
      </c>
    </row>
    <row r="3" ht="15" customHeight="1">
      <c r="A3" s="4" t="s">
        <v>85</v>
      </c>
      <c r="B3" s="4" t="s">
        <v>355</v>
      </c>
      <c r="C3" s="4" t="s">
        <v>356</v>
      </c>
    </row>
    <row r="4" ht="51.75" customHeight="1">
      <c r="A4" s="5">
        <v>1</v>
      </c>
      <c r="B4" s="7" t="s">
        <v>357</v>
      </c>
      <c r="C4" s="22" t="s">
        <v>358</v>
      </c>
    </row>
    <row r="5" ht="51.75" customHeight="1">
      <c r="A5" s="5">
        <v>2</v>
      </c>
      <c r="B5" s="7" t="s">
        <v>359</v>
      </c>
      <c r="C5" s="22" t="s">
        <v>360</v>
      </c>
    </row>
    <row r="6" ht="51.75" customHeight="1">
      <c r="A6" s="5">
        <v>3</v>
      </c>
      <c r="B6" s="7" t="s">
        <v>361</v>
      </c>
      <c r="C6" s="22" t="s">
        <v>362</v>
      </c>
    </row>
    <row r="7" ht="51.75" customHeight="1">
      <c r="A7" s="5">
        <v>4</v>
      </c>
      <c r="B7" s="7" t="s">
        <v>363</v>
      </c>
      <c r="C7" s="22" t="s">
        <v>364</v>
      </c>
    </row>
    <row r="8" ht="51.75" customHeight="1">
      <c r="A8" s="5">
        <v>5</v>
      </c>
      <c r="B8" s="7" t="s">
        <v>365</v>
      </c>
      <c r="C8" s="22" t="s">
        <v>366</v>
      </c>
    </row>
    <row r="9" ht="51.75" customHeight="1">
      <c r="A9" s="5">
        <v>6</v>
      </c>
      <c r="B9" s="7" t="s">
        <v>367</v>
      </c>
      <c r="C9" s="22" t="s">
        <v>368</v>
      </c>
    </row>
    <row r="10" ht="51.75" customHeight="1">
      <c r="A10" s="5">
        <v>7</v>
      </c>
      <c r="B10" s="7" t="s">
        <v>369</v>
      </c>
      <c r="C10" s="22" t="s">
        <v>370</v>
      </c>
    </row>
    <row r="11" ht="51.75" customHeight="1">
      <c r="A11" s="5">
        <v>8</v>
      </c>
      <c r="B11" s="7" t="s">
        <v>371</v>
      </c>
      <c r="C11" s="22" t="s">
        <v>372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1</cp:revision>
  <dcterms:created xsi:type="dcterms:W3CDTF">2026-08-06T00:05:30Z</dcterms:created>
  <dcterms:modified xsi:type="dcterms:W3CDTF">2026-08-06T20:11:15Z</dcterms:modified>
</cp:coreProperties>
</file>